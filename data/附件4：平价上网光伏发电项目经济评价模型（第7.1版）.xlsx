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u_j\workspace\developing\calculation-xlsx\"/>
    </mc:Choice>
  </mc:AlternateContent>
  <xr:revisionPtr revIDLastSave="0" documentId="8_{7A70B8A9-BA4C-4625-9473-D31EBDD2F199}" xr6:coauthVersionLast="47" xr6:coauthVersionMax="47" xr10:uidLastSave="{00000000-0000-0000-0000-000000000000}"/>
  <bookViews>
    <workbookView xWindow="1466" yWindow="12240" windowWidth="24891" windowHeight="14914" tabRatio="787" activeTab="5" xr2:uid="{1DCE159D-5C7B-4EC6-9EE2-A15558D255A9}"/>
  </bookViews>
  <sheets>
    <sheet name="参数表" sheetId="25" r:id="rId1"/>
    <sheet name="指标汇总" sheetId="12" r:id="rId2"/>
    <sheet name="投资计划" sheetId="18" r:id="rId3"/>
    <sheet name="损益" sheetId="9" r:id="rId4"/>
    <sheet name="成本" sheetId="5" r:id="rId5"/>
    <sheet name="现金流量" sheetId="4" r:id="rId6"/>
    <sheet name="资产负债" sheetId="10" r:id="rId7"/>
    <sheet name="还贷" sheetId="11" r:id="rId8"/>
    <sheet name="财务计划" sheetId="17" r:id="rId9"/>
    <sheet name="估值结果" sheetId="20" r:id="rId10"/>
  </sheets>
  <definedNames>
    <definedName name="aa">投资计划!$J$28</definedName>
    <definedName name="ab">投资计划!$K$28</definedName>
    <definedName name="ac">投资计划!$L$28</definedName>
    <definedName name="b">投资计划!$J$27</definedName>
    <definedName name="cc">投资计划!$J$29</definedName>
    <definedName name="i">投资计划!$J$26</definedName>
    <definedName name="j">投资计划!$J$30</definedName>
    <definedName name="_xlnm.Print_Area" localSheetId="4">成本!$A$1:$AF$22</definedName>
    <definedName name="_xlnm.Print_Area" localSheetId="3">损益!$A$1:$AF$34</definedName>
    <definedName name="_xlnm.Print_Area" localSheetId="5">现金流量!$A$1:$AD$66</definedName>
    <definedName name="_xlnm.Print_Area" localSheetId="6">资产负债!$A$1:$X$23</definedName>
    <definedName name="存款利率">参数表!#REF!</definedName>
    <definedName name="短期贷款利息">参数表!$C$34</definedName>
    <definedName name="公益金">指标汇总!#REF!</definedName>
    <definedName name="流动资金贷款比例">参数表!#REF!</definedName>
    <definedName name="流动资金贷款利率">参数表!$C$33</definedName>
    <definedName name="流动资金总额">参数表!$C$29</definedName>
    <definedName name="年发电量">指标汇总!$D$22</definedName>
    <definedName name="其他费用费率">参数表!$C$56</definedName>
    <definedName name="所得税率">参数表!$C$40</definedName>
    <definedName name="盈余公积金">参数表!$C$46</definedName>
    <definedName name="增值税率">参数表!$C$36</definedName>
    <definedName name="装机容量">指标汇总!$D$21</definedName>
    <definedName name="总投资">指标汇总!$D$23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5" l="1"/>
  <c r="D6" i="25"/>
  <c r="D67" i="4"/>
  <c r="Y9" i="4"/>
  <c r="Y46" i="4"/>
  <c r="Y10" i="4"/>
  <c r="Q20" i="9"/>
  <c r="R20" i="9"/>
  <c r="S20" i="9"/>
  <c r="T20" i="9"/>
  <c r="U20" i="9"/>
  <c r="V20" i="9"/>
  <c r="W20" i="9" s="1"/>
  <c r="X20" i="9" s="1"/>
  <c r="Y20" i="9" s="1"/>
  <c r="Z20" i="9" s="1"/>
  <c r="AA20" i="9" s="1"/>
  <c r="AB20" i="9" s="1"/>
  <c r="AC20" i="9" s="1"/>
  <c r="AD20" i="9" s="1"/>
  <c r="AE20" i="9" s="1"/>
  <c r="H56" i="12"/>
  <c r="M20" i="9"/>
  <c r="N20" i="9" s="1"/>
  <c r="O20" i="9"/>
  <c r="P20" i="9"/>
  <c r="J20" i="9"/>
  <c r="L20" i="9" s="1"/>
  <c r="I50" i="12"/>
  <c r="G50" i="12"/>
  <c r="C43" i="25"/>
  <c r="J11" i="5"/>
  <c r="G11" i="5"/>
  <c r="F11" i="5"/>
  <c r="M11" i="5"/>
  <c r="N11" i="5"/>
  <c r="Q11" i="5"/>
  <c r="R11" i="5"/>
  <c r="U11" i="5"/>
  <c r="V11" i="5"/>
  <c r="AC11" i="5"/>
  <c r="E11" i="5"/>
  <c r="AD11" i="5" s="1"/>
  <c r="C18" i="25"/>
  <c r="C23" i="25" s="1"/>
  <c r="C19" i="2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E10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E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E18" i="5"/>
  <c r="C8" i="25"/>
  <c r="D12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C12" i="25"/>
  <c r="X51" i="25"/>
  <c r="Y51" i="25"/>
  <c r="Z51" i="25"/>
  <c r="AA51" i="25"/>
  <c r="AB51" i="25"/>
  <c r="V51" i="25"/>
  <c r="W51" i="25"/>
  <c r="U51" i="25"/>
  <c r="R51" i="25"/>
  <c r="S51" i="25"/>
  <c r="T51" i="25"/>
  <c r="E51" i="25"/>
  <c r="F51" i="25"/>
  <c r="G51" i="25"/>
  <c r="H51" i="25"/>
  <c r="I51" i="25"/>
  <c r="J51" i="25"/>
  <c r="K51" i="25"/>
  <c r="L51" i="25"/>
  <c r="M51" i="25"/>
  <c r="N51" i="25"/>
  <c r="O51" i="25"/>
  <c r="P51" i="25"/>
  <c r="Q51" i="25"/>
  <c r="C51" i="25"/>
  <c r="D51" i="25"/>
  <c r="H5" i="9"/>
  <c r="I5" i="9"/>
  <c r="J5" i="9"/>
  <c r="J47" i="9"/>
  <c r="H10" i="17"/>
  <c r="K5" i="9"/>
  <c r="K47" i="9"/>
  <c r="L5" i="9"/>
  <c r="L47" i="9"/>
  <c r="J10" i="17" s="1"/>
  <c r="L48" i="9"/>
  <c r="M5" i="9"/>
  <c r="N5" i="9"/>
  <c r="O5" i="9"/>
  <c r="O47" i="9"/>
  <c r="P5" i="9"/>
  <c r="Q5" i="9"/>
  <c r="Q47" i="9"/>
  <c r="R5" i="9"/>
  <c r="R47" i="9" s="1"/>
  <c r="S5" i="9"/>
  <c r="S47" i="9" s="1"/>
  <c r="T5" i="9"/>
  <c r="U5" i="9"/>
  <c r="V5" i="9"/>
  <c r="W5" i="9"/>
  <c r="X5" i="9"/>
  <c r="Y5" i="9"/>
  <c r="Y47" i="9"/>
  <c r="W10" i="17" s="1"/>
  <c r="Z5" i="9"/>
  <c r="AA5" i="9"/>
  <c r="AB5" i="9"/>
  <c r="AB47" i="9"/>
  <c r="Z10" i="17" s="1"/>
  <c r="AC5" i="9"/>
  <c r="AD5" i="9"/>
  <c r="AE5" i="9"/>
  <c r="AE48" i="9" s="1"/>
  <c r="AE47" i="9"/>
  <c r="G5" i="9"/>
  <c r="C61" i="25"/>
  <c r="C59" i="25"/>
  <c r="R69" i="25" s="1"/>
  <c r="T56" i="5" s="1"/>
  <c r="S12" i="5" s="1"/>
  <c r="G6" i="18"/>
  <c r="E13" i="4"/>
  <c r="D41" i="12"/>
  <c r="D7" i="12"/>
  <c r="J27" i="18"/>
  <c r="D36" i="17"/>
  <c r="D27" i="4"/>
  <c r="F4" i="9"/>
  <c r="H15" i="12"/>
  <c r="D5" i="12"/>
  <c r="H41" i="12"/>
  <c r="AB66" i="25"/>
  <c r="AB67" i="25"/>
  <c r="AA66" i="25"/>
  <c r="Z66" i="25"/>
  <c r="Y66" i="25"/>
  <c r="X66" i="25"/>
  <c r="W66" i="25"/>
  <c r="W67" i="25" s="1"/>
  <c r="V66" i="25"/>
  <c r="U66" i="25"/>
  <c r="T66" i="25"/>
  <c r="T68" i="25" s="1"/>
  <c r="T67" i="25"/>
  <c r="S66" i="25"/>
  <c r="R66" i="25"/>
  <c r="R67" i="25" s="1"/>
  <c r="Q66" i="25"/>
  <c r="Q67" i="25" s="1"/>
  <c r="P66" i="25"/>
  <c r="O66" i="25"/>
  <c r="N66" i="25"/>
  <c r="N67" i="25" s="1"/>
  <c r="M66" i="25"/>
  <c r="L66" i="25"/>
  <c r="K66" i="25"/>
  <c r="K67" i="25" s="1"/>
  <c r="J66" i="25"/>
  <c r="J67" i="25"/>
  <c r="I66" i="25"/>
  <c r="H66" i="25"/>
  <c r="H67" i="25" s="1"/>
  <c r="G66" i="25"/>
  <c r="F66" i="25"/>
  <c r="E66" i="25"/>
  <c r="E67" i="25" s="1"/>
  <c r="D66" i="25"/>
  <c r="D67" i="25"/>
  <c r="C66" i="25"/>
  <c r="Y67" i="25"/>
  <c r="D21" i="12"/>
  <c r="H42" i="12"/>
  <c r="C47" i="25"/>
  <c r="E14" i="4"/>
  <c r="F14" i="4"/>
  <c r="F3" i="18"/>
  <c r="E3" i="18"/>
  <c r="D3" i="18"/>
  <c r="D8" i="18"/>
  <c r="E8" i="18"/>
  <c r="D11" i="18"/>
  <c r="E11" i="18"/>
  <c r="H4" i="9"/>
  <c r="H12" i="9"/>
  <c r="I4" i="9"/>
  <c r="I12" i="9" s="1"/>
  <c r="J4" i="9"/>
  <c r="J12" i="9"/>
  <c r="H44" i="4" s="1"/>
  <c r="H7" i="4"/>
  <c r="K4" i="9"/>
  <c r="K12" i="9"/>
  <c r="L4" i="9"/>
  <c r="L12" i="9"/>
  <c r="M4" i="9"/>
  <c r="M12" i="9" s="1"/>
  <c r="K7" i="4" s="1"/>
  <c r="N4" i="9"/>
  <c r="N12" i="9" s="1"/>
  <c r="L7" i="4" s="1"/>
  <c r="L44" i="4"/>
  <c r="O4" i="9"/>
  <c r="O12" i="9"/>
  <c r="P4" i="9"/>
  <c r="P12" i="9" s="1"/>
  <c r="Q4" i="9"/>
  <c r="Q12" i="9"/>
  <c r="R4" i="9"/>
  <c r="R12" i="9"/>
  <c r="S4" i="9"/>
  <c r="S12" i="9"/>
  <c r="Q7" i="4" s="1"/>
  <c r="T4" i="9"/>
  <c r="T12" i="9"/>
  <c r="R7" i="4"/>
  <c r="U4" i="9"/>
  <c r="U12" i="9"/>
  <c r="S44" i="4" s="1"/>
  <c r="V4" i="9"/>
  <c r="V12" i="9"/>
  <c r="W4" i="9"/>
  <c r="W12" i="9"/>
  <c r="X4" i="9"/>
  <c r="X12" i="9"/>
  <c r="Y4" i="9"/>
  <c r="Y12" i="9"/>
  <c r="Z4" i="9"/>
  <c r="Z12" i="9" s="1"/>
  <c r="X7" i="4" s="1"/>
  <c r="AA4" i="9"/>
  <c r="AA12" i="9"/>
  <c r="Y7" i="4" s="1"/>
  <c r="AB4" i="9"/>
  <c r="AB12" i="9"/>
  <c r="AC4" i="9"/>
  <c r="AC12" i="9"/>
  <c r="AA7" i="4" s="1"/>
  <c r="AD4" i="9"/>
  <c r="AD12" i="9"/>
  <c r="AE4" i="9"/>
  <c r="AE12" i="9" s="1"/>
  <c r="AC44" i="4" s="1"/>
  <c r="G4" i="9"/>
  <c r="G12" i="9" s="1"/>
  <c r="J26" i="18"/>
  <c r="C29" i="25"/>
  <c r="AC10" i="4" s="1"/>
  <c r="AD10" i="4" s="1"/>
  <c r="C25" i="25"/>
  <c r="D28" i="5"/>
  <c r="D50" i="5" s="1"/>
  <c r="C24" i="25"/>
  <c r="C73" i="25" s="1"/>
  <c r="D45" i="12" s="1"/>
  <c r="C26" i="10"/>
  <c r="D6" i="17"/>
  <c r="D5" i="17" s="1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G14" i="4"/>
  <c r="H14" i="4"/>
  <c r="I14" i="4"/>
  <c r="J14" i="4"/>
  <c r="K14" i="4"/>
  <c r="L14" i="4"/>
  <c r="M14" i="4"/>
  <c r="N14" i="4"/>
  <c r="B1" i="20"/>
  <c r="AD17" i="5"/>
  <c r="AD19" i="5"/>
  <c r="AD20" i="5"/>
  <c r="AF28" i="9"/>
  <c r="Z10" i="11"/>
  <c r="AA10" i="11"/>
  <c r="AB10" i="11"/>
  <c r="AC10" i="11"/>
  <c r="Y10" i="11"/>
  <c r="T10" i="11"/>
  <c r="U10" i="11"/>
  <c r="V10" i="11"/>
  <c r="W10" i="11"/>
  <c r="X10" i="11"/>
  <c r="AD18" i="17"/>
  <c r="AD32" i="17"/>
  <c r="E8" i="11"/>
  <c r="X15" i="10"/>
  <c r="Y15" i="10"/>
  <c r="Z15" i="10"/>
  <c r="AA15" i="10"/>
  <c r="AB15" i="10"/>
  <c r="AD11" i="4"/>
  <c r="AD21" i="4"/>
  <c r="E40" i="4"/>
  <c r="E83" i="4" s="1"/>
  <c r="F40" i="4"/>
  <c r="F83" i="4" s="1"/>
  <c r="G40" i="4"/>
  <c r="G83" i="4"/>
  <c r="H40" i="4"/>
  <c r="H83" i="4" s="1"/>
  <c r="I40" i="4"/>
  <c r="I83" i="4"/>
  <c r="J40" i="4"/>
  <c r="J83" i="4"/>
  <c r="K40" i="4"/>
  <c r="K83" i="4"/>
  <c r="L40" i="4"/>
  <c r="L83" i="4"/>
  <c r="M40" i="4"/>
  <c r="M83" i="4" s="1"/>
  <c r="N40" i="4"/>
  <c r="N83" i="4" s="1"/>
  <c r="O40" i="4"/>
  <c r="O83" i="4"/>
  <c r="P40" i="4"/>
  <c r="P83" i="4" s="1"/>
  <c r="Q40" i="4"/>
  <c r="Q83" i="4"/>
  <c r="R40" i="4"/>
  <c r="R83" i="4"/>
  <c r="S40" i="4"/>
  <c r="S83" i="4"/>
  <c r="T40" i="4"/>
  <c r="T83" i="4" s="1"/>
  <c r="U40" i="4"/>
  <c r="U83" i="4" s="1"/>
  <c r="V40" i="4"/>
  <c r="V83" i="4" s="1"/>
  <c r="W40" i="4"/>
  <c r="W83" i="4"/>
  <c r="X40" i="4"/>
  <c r="X83" i="4" s="1"/>
  <c r="Y40" i="4"/>
  <c r="Y83" i="4"/>
  <c r="Z40" i="4"/>
  <c r="Z83" i="4"/>
  <c r="AA40" i="4"/>
  <c r="AA83" i="4"/>
  <c r="AB40" i="4"/>
  <c r="AB83" i="4" s="1"/>
  <c r="AC40" i="4"/>
  <c r="AC83" i="4" s="1"/>
  <c r="F46" i="4"/>
  <c r="AD48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Y86" i="4"/>
  <c r="Z86" i="4"/>
  <c r="AA86" i="4"/>
  <c r="AB86" i="4"/>
  <c r="AD26" i="5"/>
  <c r="D4" i="9"/>
  <c r="F8" i="18"/>
  <c r="H19" i="18"/>
  <c r="G20" i="18"/>
  <c r="H20" i="18"/>
  <c r="X86" i="4"/>
  <c r="AD47" i="4"/>
  <c r="AF13" i="9"/>
  <c r="C4" i="10"/>
  <c r="D4" i="4"/>
  <c r="D40" i="4"/>
  <c r="D83" i="4"/>
  <c r="D4" i="11"/>
  <c r="E4" i="9"/>
  <c r="D4" i="17"/>
  <c r="E4" i="11"/>
  <c r="F4" i="5"/>
  <c r="E4" i="17"/>
  <c r="AD36" i="17"/>
  <c r="D20" i="11"/>
  <c r="D21" i="11"/>
  <c r="D11" i="17"/>
  <c r="F26" i="5"/>
  <c r="N68" i="25"/>
  <c r="P55" i="5"/>
  <c r="T69" i="25"/>
  <c r="V56" i="5"/>
  <c r="U12" i="5" s="1"/>
  <c r="D68" i="25"/>
  <c r="AB68" i="25"/>
  <c r="C67" i="25"/>
  <c r="I47" i="9"/>
  <c r="G10" i="17"/>
  <c r="AB11" i="5"/>
  <c r="X11" i="5"/>
  <c r="T11" i="5"/>
  <c r="P11" i="5"/>
  <c r="L11" i="5"/>
  <c r="H11" i="5"/>
  <c r="AA11" i="5"/>
  <c r="W11" i="5"/>
  <c r="S11" i="5"/>
  <c r="O11" i="5"/>
  <c r="K11" i="5"/>
  <c r="F67" i="25"/>
  <c r="F68" i="25"/>
  <c r="C8" i="18"/>
  <c r="C18" i="18" s="1"/>
  <c r="G18" i="18" s="1"/>
  <c r="K14" i="10"/>
  <c r="Z47" i="9"/>
  <c r="P47" i="9"/>
  <c r="P48" i="9"/>
  <c r="O67" i="25"/>
  <c r="O69" i="25"/>
  <c r="Q56" i="5" s="1"/>
  <c r="R68" i="25"/>
  <c r="AA69" i="25"/>
  <c r="AC56" i="5" s="1"/>
  <c r="H47" i="9"/>
  <c r="G36" i="9"/>
  <c r="W47" i="9"/>
  <c r="G48" i="5"/>
  <c r="G14" i="17"/>
  <c r="G16" i="4"/>
  <c r="G54" i="4" s="1"/>
  <c r="H55" i="5"/>
  <c r="I67" i="25"/>
  <c r="L68" i="25"/>
  <c r="L67" i="25"/>
  <c r="O14" i="17"/>
  <c r="O16" i="4"/>
  <c r="O54" i="4"/>
  <c r="G67" i="25"/>
  <c r="AB69" i="25"/>
  <c r="AD56" i="5" s="1"/>
  <c r="AC12" i="5" s="1"/>
  <c r="S69" i="25"/>
  <c r="U56" i="5" s="1"/>
  <c r="T12" i="5" s="1"/>
  <c r="Y69" i="25"/>
  <c r="AA56" i="5"/>
  <c r="Z12" i="5" s="1"/>
  <c r="U67" i="25"/>
  <c r="X47" i="9"/>
  <c r="X48" i="9"/>
  <c r="Y11" i="5"/>
  <c r="I11" i="5"/>
  <c r="Z11" i="5"/>
  <c r="N55" i="5"/>
  <c r="M14" i="17"/>
  <c r="M16" i="4"/>
  <c r="M54" i="4"/>
  <c r="R48" i="9"/>
  <c r="P10" i="17"/>
  <c r="O10" i="17"/>
  <c r="K44" i="4"/>
  <c r="V47" i="9"/>
  <c r="T10" i="17"/>
  <c r="AB7" i="4"/>
  <c r="AB44" i="4"/>
  <c r="Q44" i="4"/>
  <c r="AA47" i="9"/>
  <c r="Y10" i="17" s="1"/>
  <c r="AA48" i="9"/>
  <c r="S7" i="4"/>
  <c r="X44" i="4"/>
  <c r="K48" i="9"/>
  <c r="M10" i="17"/>
  <c r="O48" i="9"/>
  <c r="I48" i="9"/>
  <c r="V48" i="9"/>
  <c r="J48" i="9"/>
  <c r="F69" i="25"/>
  <c r="L69" i="25"/>
  <c r="N56" i="5" s="1"/>
  <c r="AC10" i="17"/>
  <c r="Y48" i="9"/>
  <c r="N69" i="25"/>
  <c r="P56" i="5" s="1"/>
  <c r="O12" i="5" s="1"/>
  <c r="N10" i="17"/>
  <c r="V10" i="17"/>
  <c r="Q69" i="25"/>
  <c r="P69" i="25"/>
  <c r="R56" i="5" s="1"/>
  <c r="Q12" i="5" s="1"/>
  <c r="I69" i="25"/>
  <c r="K56" i="5" s="1"/>
  <c r="J12" i="5" s="1"/>
  <c r="W44" i="4"/>
  <c r="W7" i="4"/>
  <c r="H56" i="5"/>
  <c r="G12" i="5" s="1"/>
  <c r="W48" i="9"/>
  <c r="U10" i="17"/>
  <c r="AB12" i="5"/>
  <c r="P12" i="5"/>
  <c r="K20" i="9"/>
  <c r="G47" i="9"/>
  <c r="AC7" i="4"/>
  <c r="AA44" i="4"/>
  <c r="Y44" i="4"/>
  <c r="R44" i="4"/>
  <c r="P44" i="4"/>
  <c r="P7" i="4"/>
  <c r="J44" i="4"/>
  <c r="J7" i="4"/>
  <c r="M12" i="5"/>
  <c r="S56" i="5"/>
  <c r="R12" i="5" s="1"/>
  <c r="D40" i="12" l="1"/>
  <c r="D6" i="12"/>
  <c r="L14" i="10"/>
  <c r="T14" i="10"/>
  <c r="E14" i="10"/>
  <c r="N14" i="10"/>
  <c r="H18" i="18"/>
  <c r="Y14" i="10"/>
  <c r="E13" i="11"/>
  <c r="D14" i="10"/>
  <c r="X14" i="10"/>
  <c r="AA14" i="10"/>
  <c r="P14" i="10"/>
  <c r="I14" i="10"/>
  <c r="Z14" i="10"/>
  <c r="F14" i="10"/>
  <c r="O14" i="10"/>
  <c r="U14" i="10"/>
  <c r="V14" i="10"/>
  <c r="G14" i="10"/>
  <c r="Q14" i="10"/>
  <c r="W14" i="10"/>
  <c r="E21" i="17"/>
  <c r="S14" i="10"/>
  <c r="H14" i="10"/>
  <c r="R14" i="10"/>
  <c r="AB14" i="10"/>
  <c r="M14" i="10"/>
  <c r="J14" i="10"/>
  <c r="G7" i="4"/>
  <c r="G44" i="4"/>
  <c r="F55" i="5"/>
  <c r="E14" i="17"/>
  <c r="N44" i="4"/>
  <c r="N7" i="4"/>
  <c r="N47" i="9"/>
  <c r="N48" i="9"/>
  <c r="Y49" i="9"/>
  <c r="Y6" i="9" s="1"/>
  <c r="P49" i="9"/>
  <c r="P6" i="9" s="1"/>
  <c r="L49" i="9"/>
  <c r="L6" i="9" s="1"/>
  <c r="V49" i="9"/>
  <c r="V6" i="9" s="1"/>
  <c r="J49" i="9"/>
  <c r="J6" i="9" s="1"/>
  <c r="D8" i="12"/>
  <c r="D28" i="12"/>
  <c r="D27" i="12" s="1"/>
  <c r="W49" i="9"/>
  <c r="W6" i="9" s="1"/>
  <c r="AA49" i="9"/>
  <c r="AA6" i="9" s="1"/>
  <c r="I49" i="9"/>
  <c r="I6" i="9" s="1"/>
  <c r="X49" i="9"/>
  <c r="X6" i="9" s="1"/>
  <c r="R49" i="9"/>
  <c r="R6" i="9" s="1"/>
  <c r="U44" i="4"/>
  <c r="U7" i="4"/>
  <c r="M7" i="4"/>
  <c r="M44" i="4"/>
  <c r="U14" i="17"/>
  <c r="U16" i="4" s="1"/>
  <c r="U54" i="4" s="1"/>
  <c r="V55" i="5"/>
  <c r="C7" i="25"/>
  <c r="M47" i="9"/>
  <c r="M48" i="9" s="1"/>
  <c r="AD18" i="5"/>
  <c r="E7" i="4"/>
  <c r="E44" i="4"/>
  <c r="AF12" i="9"/>
  <c r="AD8" i="5"/>
  <c r="D50" i="12" s="1"/>
  <c r="X67" i="25"/>
  <c r="X68" i="25"/>
  <c r="X69" i="25"/>
  <c r="Z56" i="5" s="1"/>
  <c r="Y12" i="5" s="1"/>
  <c r="I10" i="17"/>
  <c r="K49" i="9"/>
  <c r="K6" i="9" s="1"/>
  <c r="J68" i="25"/>
  <c r="J69" i="25"/>
  <c r="L56" i="5" s="1"/>
  <c r="K12" i="5" s="1"/>
  <c r="I7" i="4"/>
  <c r="I44" i="4"/>
  <c r="T47" i="9"/>
  <c r="Z68" i="25"/>
  <c r="Z67" i="25"/>
  <c r="Z69" i="25"/>
  <c r="AB56" i="5" s="1"/>
  <c r="AA12" i="5" s="1"/>
  <c r="U47" i="9"/>
  <c r="T55" i="5"/>
  <c r="S14" i="17"/>
  <c r="S16" i="4" s="1"/>
  <c r="S54" i="4" s="1"/>
  <c r="F10" i="17"/>
  <c r="H48" i="9"/>
  <c r="H49" i="9" s="1"/>
  <c r="H6" i="9" s="1"/>
  <c r="H7" i="9" s="1"/>
  <c r="G48" i="9"/>
  <c r="E10" i="17"/>
  <c r="G49" i="9"/>
  <c r="G6" i="9" s="1"/>
  <c r="G7" i="9" s="1"/>
  <c r="G8" i="9" s="1"/>
  <c r="M67" i="25"/>
  <c r="I68" i="25" s="1"/>
  <c r="M69" i="25"/>
  <c r="O56" i="5" s="1"/>
  <c r="N12" i="5" s="1"/>
  <c r="S49" i="9"/>
  <c r="S6" i="9" s="1"/>
  <c r="J29" i="18"/>
  <c r="D25" i="12"/>
  <c r="C13" i="18"/>
  <c r="G13" i="18" s="1"/>
  <c r="Q10" i="17"/>
  <c r="D7" i="10"/>
  <c r="S48" i="9"/>
  <c r="T7" i="4"/>
  <c r="T44" i="4"/>
  <c r="V69" i="25"/>
  <c r="X56" i="5" s="1"/>
  <c r="W12" i="5" s="1"/>
  <c r="V68" i="25"/>
  <c r="V67" i="25"/>
  <c r="AD10" i="5"/>
  <c r="E58" i="4"/>
  <c r="AD13" i="4"/>
  <c r="AD47" i="9"/>
  <c r="AD55" i="5"/>
  <c r="AC14" i="17"/>
  <c r="AC16" i="4" s="1"/>
  <c r="AC54" i="4" s="1"/>
  <c r="F4" i="11"/>
  <c r="F4" i="17"/>
  <c r="G4" i="5"/>
  <c r="Z7" i="4"/>
  <c r="Z44" i="4"/>
  <c r="V44" i="4"/>
  <c r="V7" i="4"/>
  <c r="F44" i="4"/>
  <c r="F7" i="4"/>
  <c r="AC47" i="9"/>
  <c r="Q48" i="9"/>
  <c r="Q49" i="9"/>
  <c r="Q6" i="9" s="1"/>
  <c r="Z48" i="9"/>
  <c r="Z49" i="9" s="1"/>
  <c r="Z6" i="9" s="1"/>
  <c r="X10" i="17"/>
  <c r="O44" i="4"/>
  <c r="O7" i="4"/>
  <c r="AE49" i="9"/>
  <c r="AE6" i="9" s="1"/>
  <c r="AB48" i="9"/>
  <c r="AB49" i="9" s="1"/>
  <c r="AB6" i="9" s="1"/>
  <c r="O49" i="9"/>
  <c r="O6" i="9" s="1"/>
  <c r="U69" i="25"/>
  <c r="W56" i="5" s="1"/>
  <c r="V12" i="5" s="1"/>
  <c r="C69" i="25"/>
  <c r="P67" i="25"/>
  <c r="AA67" i="25"/>
  <c r="AA68" i="25" s="1"/>
  <c r="W69" i="25"/>
  <c r="G69" i="25"/>
  <c r="I56" i="5" s="1"/>
  <c r="H12" i="5" s="1"/>
  <c r="K69" i="25"/>
  <c r="H69" i="25"/>
  <c r="J56" i="5" s="1"/>
  <c r="I12" i="5" s="1"/>
  <c r="D69" i="25"/>
  <c r="F56" i="5" s="1"/>
  <c r="E12" i="5" s="1"/>
  <c r="E69" i="25"/>
  <c r="G56" i="5" s="1"/>
  <c r="F12" i="5" s="1"/>
  <c r="P68" i="25"/>
  <c r="S67" i="25"/>
  <c r="S68" i="25" s="1"/>
  <c r="H68" i="25"/>
  <c r="I7" i="9" l="1"/>
  <c r="H8" i="9"/>
  <c r="U55" i="5"/>
  <c r="T14" i="17"/>
  <c r="T16" i="4" s="1"/>
  <c r="T54" i="4" s="1"/>
  <c r="J14" i="17"/>
  <c r="J16" i="4" s="1"/>
  <c r="J54" i="4" s="1"/>
  <c r="K55" i="5"/>
  <c r="Y68" i="25"/>
  <c r="AB55" i="5"/>
  <c r="AA14" i="17"/>
  <c r="AA16" i="4" s="1"/>
  <c r="AA54" i="4" s="1"/>
  <c r="Z55" i="5"/>
  <c r="Y14" i="17"/>
  <c r="Y16" i="4" s="1"/>
  <c r="Y54" i="4" s="1"/>
  <c r="I14" i="17"/>
  <c r="I16" i="4" s="1"/>
  <c r="I54" i="4" s="1"/>
  <c r="J55" i="5"/>
  <c r="Q68" i="25"/>
  <c r="H4" i="5"/>
  <c r="G26" i="5"/>
  <c r="G4" i="17"/>
  <c r="G4" i="11"/>
  <c r="E6" i="4"/>
  <c r="E7" i="17"/>
  <c r="F51" i="5"/>
  <c r="F52" i="5" s="1"/>
  <c r="G37" i="9"/>
  <c r="R10" i="17"/>
  <c r="R55" i="5"/>
  <c r="Q14" i="17"/>
  <c r="Q16" i="4" s="1"/>
  <c r="Q54" i="4" s="1"/>
  <c r="W14" i="17"/>
  <c r="W16" i="4" s="1"/>
  <c r="W54" i="4" s="1"/>
  <c r="X55" i="5"/>
  <c r="G9" i="10"/>
  <c r="D9" i="10"/>
  <c r="K9" i="10"/>
  <c r="F9" i="10"/>
  <c r="E9" i="10"/>
  <c r="I9" i="10"/>
  <c r="H9" i="10"/>
  <c r="Y9" i="10"/>
  <c r="T48" i="9"/>
  <c r="T49" i="9" s="1"/>
  <c r="T6" i="9" s="1"/>
  <c r="N49" i="9"/>
  <c r="N6" i="9" s="1"/>
  <c r="L10" i="17"/>
  <c r="E16" i="11"/>
  <c r="E15" i="5" s="1"/>
  <c r="F13" i="11"/>
  <c r="M68" i="25"/>
  <c r="S10" i="17"/>
  <c r="U49" i="9"/>
  <c r="U6" i="9" s="1"/>
  <c r="AD44" i="4"/>
  <c r="M56" i="5"/>
  <c r="L12" i="5" s="1"/>
  <c r="AD12" i="5" s="1"/>
  <c r="K68" i="25"/>
  <c r="AD7" i="4"/>
  <c r="E16" i="4"/>
  <c r="E54" i="4" s="1"/>
  <c r="AD49" i="9"/>
  <c r="AD6" i="9" s="1"/>
  <c r="AB10" i="17"/>
  <c r="E7" i="10"/>
  <c r="Y56" i="5"/>
  <c r="X12" i="5" s="1"/>
  <c r="W68" i="25"/>
  <c r="AA10" i="17"/>
  <c r="AC49" i="9"/>
  <c r="AC6" i="9" s="1"/>
  <c r="AD48" i="9"/>
  <c r="G68" i="25"/>
  <c r="U68" i="25"/>
  <c r="AC55" i="5"/>
  <c r="AB14" i="17"/>
  <c r="AB16" i="4" s="1"/>
  <c r="AB54" i="4" s="1"/>
  <c r="AC48" i="9"/>
  <c r="E93" i="4"/>
  <c r="E91" i="4" s="1"/>
  <c r="G8" i="18"/>
  <c r="H13" i="18"/>
  <c r="M49" i="9"/>
  <c r="M6" i="9" s="1"/>
  <c r="K10" i="17"/>
  <c r="W9" i="10" s="1"/>
  <c r="C68" i="25"/>
  <c r="O68" i="25"/>
  <c r="L55" i="5"/>
  <c r="K14" i="17"/>
  <c r="K16" i="4" s="1"/>
  <c r="K54" i="4" s="1"/>
  <c r="U48" i="9"/>
  <c r="D9" i="12"/>
  <c r="D38" i="12"/>
  <c r="H5" i="12"/>
  <c r="D22" i="12" s="1"/>
  <c r="H54" i="12" s="1"/>
  <c r="H55" i="12" s="1"/>
  <c r="H57" i="12" s="1"/>
  <c r="E68" i="25"/>
  <c r="E55" i="5" l="1"/>
  <c r="E57" i="5" s="1"/>
  <c r="F57" i="5" s="1"/>
  <c r="G57" i="5" s="1"/>
  <c r="H57" i="5" s="1"/>
  <c r="I57" i="5" s="1"/>
  <c r="J57" i="5" s="1"/>
  <c r="K57" i="5" s="1"/>
  <c r="L57" i="5" s="1"/>
  <c r="C15" i="25"/>
  <c r="AA9" i="10"/>
  <c r="T9" i="10"/>
  <c r="G51" i="5"/>
  <c r="G52" i="5"/>
  <c r="G5" i="18"/>
  <c r="E26" i="17"/>
  <c r="H8" i="18"/>
  <c r="D14" i="4" s="1"/>
  <c r="AD14" i="4" s="1"/>
  <c r="R9" i="10"/>
  <c r="O9" i="10"/>
  <c r="F16" i="11"/>
  <c r="F15" i="5" s="1"/>
  <c r="G13" i="11"/>
  <c r="H48" i="5"/>
  <c r="M9" i="10"/>
  <c r="E45" i="4"/>
  <c r="E8" i="17"/>
  <c r="E8" i="4"/>
  <c r="G38" i="9"/>
  <c r="G39" i="9"/>
  <c r="G40" i="9" s="1"/>
  <c r="S9" i="10"/>
  <c r="G55" i="5"/>
  <c r="F14" i="17"/>
  <c r="F7" i="10"/>
  <c r="U9" i="10"/>
  <c r="V9" i="10"/>
  <c r="AB9" i="10"/>
  <c r="L9" i="10"/>
  <c r="Q55" i="5"/>
  <c r="P14" i="17"/>
  <c r="P16" i="4" s="1"/>
  <c r="P54" i="4" s="1"/>
  <c r="I55" i="5"/>
  <c r="H14" i="17"/>
  <c r="H16" i="4" s="1"/>
  <c r="H54" i="4" s="1"/>
  <c r="J9" i="10"/>
  <c r="S55" i="5"/>
  <c r="R14" i="17"/>
  <c r="R16" i="4" s="1"/>
  <c r="R54" i="4" s="1"/>
  <c r="F7" i="17"/>
  <c r="F6" i="4"/>
  <c r="H37" i="9"/>
  <c r="M55" i="5"/>
  <c r="L14" i="17"/>
  <c r="L16" i="4" s="1"/>
  <c r="L54" i="4" s="1"/>
  <c r="Y55" i="5"/>
  <c r="X14" i="17"/>
  <c r="X16" i="4" s="1"/>
  <c r="X54" i="4" s="1"/>
  <c r="Z9" i="10"/>
  <c r="P9" i="10"/>
  <c r="N9" i="10"/>
  <c r="X9" i="10"/>
  <c r="E6" i="17"/>
  <c r="Q9" i="10"/>
  <c r="E43" i="4"/>
  <c r="E5" i="4"/>
  <c r="N14" i="17"/>
  <c r="N16" i="4" s="1"/>
  <c r="N54" i="4" s="1"/>
  <c r="O55" i="5"/>
  <c r="AA55" i="5"/>
  <c r="Z14" i="17"/>
  <c r="Z16" i="4" s="1"/>
  <c r="Z54" i="4" s="1"/>
  <c r="V14" i="17"/>
  <c r="V16" i="4" s="1"/>
  <c r="V54" i="4" s="1"/>
  <c r="W55" i="5"/>
  <c r="H4" i="11"/>
  <c r="H26" i="5"/>
  <c r="I4" i="5"/>
  <c r="H4" i="17"/>
  <c r="J7" i="9"/>
  <c r="I8" i="9"/>
  <c r="G11" i="9" l="1"/>
  <c r="E55" i="4"/>
  <c r="E15" i="4"/>
  <c r="G10" i="9"/>
  <c r="F8" i="17"/>
  <c r="F8" i="4"/>
  <c r="F45" i="4"/>
  <c r="H40" i="9"/>
  <c r="H41" i="9"/>
  <c r="F16" i="4"/>
  <c r="F54" i="4" s="1"/>
  <c r="AD14" i="17"/>
  <c r="F5" i="4"/>
  <c r="F43" i="4"/>
  <c r="F42" i="4" s="1"/>
  <c r="F6" i="17"/>
  <c r="E42" i="4"/>
  <c r="H38" i="9"/>
  <c r="H39" i="9"/>
  <c r="G41" i="9"/>
  <c r="E12" i="10"/>
  <c r="H51" i="5"/>
  <c r="H52" i="5" s="1"/>
  <c r="I37" i="9"/>
  <c r="G7" i="17"/>
  <c r="G6" i="4"/>
  <c r="J8" i="9"/>
  <c r="K7" i="9"/>
  <c r="D12" i="10"/>
  <c r="I4" i="17"/>
  <c r="J4" i="5"/>
  <c r="I4" i="11"/>
  <c r="I26" i="5"/>
  <c r="G16" i="11"/>
  <c r="G15" i="5" s="1"/>
  <c r="H13" i="11"/>
  <c r="G7" i="10"/>
  <c r="I48" i="5"/>
  <c r="H6" i="12"/>
  <c r="C6" i="18" s="1"/>
  <c r="B26" i="18"/>
  <c r="M57" i="5"/>
  <c r="N57" i="5" s="1"/>
  <c r="O57" i="5" s="1"/>
  <c r="P57" i="5" s="1"/>
  <c r="Q57" i="5" s="1"/>
  <c r="R57" i="5" s="1"/>
  <c r="S57" i="5" s="1"/>
  <c r="T57" i="5" s="1"/>
  <c r="U57" i="5" s="1"/>
  <c r="V57" i="5" s="1"/>
  <c r="W57" i="5" s="1"/>
  <c r="X57" i="5" s="1"/>
  <c r="Y57" i="5" s="1"/>
  <c r="Z57" i="5" s="1"/>
  <c r="AA57" i="5" s="1"/>
  <c r="AB57" i="5" s="1"/>
  <c r="AC57" i="5" s="1"/>
  <c r="AD57" i="5" s="1"/>
  <c r="F12" i="10" l="1"/>
  <c r="I51" i="5"/>
  <c r="I52" i="5"/>
  <c r="F6" i="18"/>
  <c r="D6" i="18"/>
  <c r="E6" i="18"/>
  <c r="J37" i="9"/>
  <c r="H6" i="4"/>
  <c r="H7" i="17"/>
  <c r="K8" i="9"/>
  <c r="L7" i="9"/>
  <c r="G43" i="4"/>
  <c r="H7" i="10"/>
  <c r="I13" i="11"/>
  <c r="H16" i="11"/>
  <c r="H15" i="5" s="1"/>
  <c r="J48" i="5"/>
  <c r="I38" i="9"/>
  <c r="I39" i="9"/>
  <c r="I40" i="9" s="1"/>
  <c r="G9" i="9"/>
  <c r="E16" i="17"/>
  <c r="G45" i="4"/>
  <c r="G8" i="4"/>
  <c r="G8" i="17"/>
  <c r="F55" i="4"/>
  <c r="F16" i="17" s="1"/>
  <c r="F15" i="4"/>
  <c r="H11" i="9"/>
  <c r="H10" i="9"/>
  <c r="K4" i="5"/>
  <c r="J26" i="5"/>
  <c r="J4" i="17"/>
  <c r="J4" i="11"/>
  <c r="J30" i="18"/>
  <c r="J31" i="18" s="1"/>
  <c r="F29" i="18"/>
  <c r="C29" i="18"/>
  <c r="G29" i="18"/>
  <c r="G55" i="4" l="1"/>
  <c r="G16" i="17" s="1"/>
  <c r="I10" i="9"/>
  <c r="I11" i="9"/>
  <c r="G15" i="4"/>
  <c r="J39" i="9"/>
  <c r="J41" i="9" s="1"/>
  <c r="J38" i="9"/>
  <c r="I41" i="9"/>
  <c r="H43" i="4"/>
  <c r="H5" i="4"/>
  <c r="H8" i="17"/>
  <c r="H6" i="17" s="1"/>
  <c r="J40" i="9"/>
  <c r="H8" i="4"/>
  <c r="H45" i="4"/>
  <c r="G6" i="17"/>
  <c r="B29" i="18"/>
  <c r="I7" i="10"/>
  <c r="G5" i="4"/>
  <c r="G42" i="4"/>
  <c r="I6" i="4"/>
  <c r="I7" i="17"/>
  <c r="K37" i="9"/>
  <c r="J32" i="18"/>
  <c r="B24" i="18" s="1"/>
  <c r="B27" i="18" s="1"/>
  <c r="B25" i="18"/>
  <c r="H6" i="18"/>
  <c r="M7" i="9"/>
  <c r="L8" i="9"/>
  <c r="G12" i="10"/>
  <c r="J51" i="5"/>
  <c r="J52" i="5" s="1"/>
  <c r="K48" i="5"/>
  <c r="K4" i="11"/>
  <c r="L4" i="5"/>
  <c r="K4" i="17"/>
  <c r="K26" i="5"/>
  <c r="I16" i="11"/>
  <c r="I15" i="5" s="1"/>
  <c r="J13" i="11"/>
  <c r="D13" i="4"/>
  <c r="D12" i="4" s="1"/>
  <c r="D22" i="4" s="1"/>
  <c r="H9" i="9"/>
  <c r="E56" i="4"/>
  <c r="E18" i="4"/>
  <c r="H12" i="10" l="1"/>
  <c r="K51" i="5"/>
  <c r="K52" i="5" s="1"/>
  <c r="H42" i="4"/>
  <c r="J7" i="10"/>
  <c r="F56" i="4"/>
  <c r="F13" i="17" s="1"/>
  <c r="F18" i="4"/>
  <c r="J7" i="17"/>
  <c r="L37" i="9"/>
  <c r="J6" i="4"/>
  <c r="K39" i="9"/>
  <c r="K38" i="9"/>
  <c r="D23" i="4"/>
  <c r="D25" i="4"/>
  <c r="I9" i="9"/>
  <c r="I8" i="17"/>
  <c r="I6" i="17" s="1"/>
  <c r="K40" i="9"/>
  <c r="K41" i="9"/>
  <c r="I45" i="4"/>
  <c r="I8" i="4"/>
  <c r="E13" i="17"/>
  <c r="N7" i="9"/>
  <c r="M8" i="9"/>
  <c r="J16" i="11"/>
  <c r="J15" i="5" s="1"/>
  <c r="K13" i="11"/>
  <c r="D43" i="12"/>
  <c r="C12" i="18"/>
  <c r="G30" i="18"/>
  <c r="G31" i="18" s="1"/>
  <c r="C30" i="18"/>
  <c r="F30" i="18"/>
  <c r="F31" i="18" s="1"/>
  <c r="B28" i="18"/>
  <c r="L48" i="5"/>
  <c r="L4" i="11"/>
  <c r="L4" i="17"/>
  <c r="M4" i="5"/>
  <c r="L26" i="5"/>
  <c r="I43" i="4"/>
  <c r="I5" i="4"/>
  <c r="H15" i="4"/>
  <c r="J11" i="9"/>
  <c r="J10" i="9"/>
  <c r="J9" i="9" s="1"/>
  <c r="H55" i="4"/>
  <c r="L51" i="5" l="1"/>
  <c r="L52" i="5"/>
  <c r="I12" i="10"/>
  <c r="E16" i="18"/>
  <c r="F16" i="18"/>
  <c r="H18" i="4"/>
  <c r="H56" i="4"/>
  <c r="H13" i="17" s="1"/>
  <c r="B30" i="18"/>
  <c r="C31" i="18"/>
  <c r="I55" i="4"/>
  <c r="I16" i="17" s="1"/>
  <c r="I15" i="4"/>
  <c r="K10" i="9"/>
  <c r="K11" i="9"/>
  <c r="C11" i="18"/>
  <c r="F12" i="18"/>
  <c r="G12" i="18"/>
  <c r="L13" i="11"/>
  <c r="K16" i="11"/>
  <c r="K15" i="5" s="1"/>
  <c r="M4" i="17"/>
  <c r="M4" i="11"/>
  <c r="M26" i="5"/>
  <c r="N4" i="5"/>
  <c r="D26" i="4"/>
  <c r="L38" i="9"/>
  <c r="L39" i="9"/>
  <c r="J43" i="4"/>
  <c r="I42" i="4"/>
  <c r="M37" i="9"/>
  <c r="K7" i="17"/>
  <c r="K6" i="4"/>
  <c r="M48" i="5"/>
  <c r="O7" i="9"/>
  <c r="N8" i="9"/>
  <c r="K7" i="10"/>
  <c r="H16" i="17"/>
  <c r="J8" i="4"/>
  <c r="J5" i="4" s="1"/>
  <c r="L40" i="9"/>
  <c r="J8" i="17"/>
  <c r="J6" i="17" s="1"/>
  <c r="J45" i="4"/>
  <c r="L41" i="9"/>
  <c r="G18" i="4"/>
  <c r="G56" i="4"/>
  <c r="N4" i="11" l="1"/>
  <c r="O4" i="5"/>
  <c r="N26" i="5"/>
  <c r="N4" i="17"/>
  <c r="G11" i="18"/>
  <c r="G16" i="18"/>
  <c r="G15" i="18" s="1"/>
  <c r="N48" i="5"/>
  <c r="D7" i="11"/>
  <c r="L16" i="11"/>
  <c r="L15" i="5" s="1"/>
  <c r="M13" i="11"/>
  <c r="J42" i="4"/>
  <c r="E4" i="18"/>
  <c r="D4" i="18"/>
  <c r="M51" i="5"/>
  <c r="J12" i="10"/>
  <c r="M52" i="5"/>
  <c r="K9" i="9"/>
  <c r="P7" i="9"/>
  <c r="O8" i="9"/>
  <c r="K5" i="4"/>
  <c r="K43" i="4"/>
  <c r="K42" i="4" s="1"/>
  <c r="K6" i="17"/>
  <c r="K8" i="4"/>
  <c r="K45" i="4"/>
  <c r="K8" i="17"/>
  <c r="J55" i="4"/>
  <c r="L11" i="9"/>
  <c r="L10" i="9"/>
  <c r="J15" i="4"/>
  <c r="C19" i="10"/>
  <c r="H12" i="18"/>
  <c r="F11" i="18"/>
  <c r="M38" i="9"/>
  <c r="M39" i="9"/>
  <c r="M41" i="9" s="1"/>
  <c r="L7" i="10"/>
  <c r="L7" i="17"/>
  <c r="N37" i="9"/>
  <c r="L6" i="4"/>
  <c r="G13" i="17"/>
  <c r="D16" i="18"/>
  <c r="B31" i="18"/>
  <c r="C32" i="18"/>
  <c r="H11" i="18" l="1"/>
  <c r="D19" i="17"/>
  <c r="F4" i="18"/>
  <c r="D50" i="4"/>
  <c r="I56" i="4"/>
  <c r="I18" i="4"/>
  <c r="M7" i="10"/>
  <c r="M16" i="11"/>
  <c r="M15" i="5" s="1"/>
  <c r="N13" i="11"/>
  <c r="B32" i="18"/>
  <c r="C7" i="18" s="1"/>
  <c r="D7" i="18"/>
  <c r="D17" i="18"/>
  <c r="F32" i="18"/>
  <c r="G32" i="18"/>
  <c r="D19" i="10"/>
  <c r="C18" i="10"/>
  <c r="G14" i="18"/>
  <c r="E25" i="17"/>
  <c r="G17" i="18"/>
  <c r="L9" i="9"/>
  <c r="E19" i="17"/>
  <c r="G10" i="18"/>
  <c r="E50" i="4"/>
  <c r="G4" i="18"/>
  <c r="J16" i="17"/>
  <c r="L43" i="4"/>
  <c r="M40" i="9"/>
  <c r="N39" i="9"/>
  <c r="N38" i="9"/>
  <c r="M6" i="4"/>
  <c r="O37" i="9"/>
  <c r="M7" i="17"/>
  <c r="Q7" i="9"/>
  <c r="P8" i="9"/>
  <c r="D15" i="18"/>
  <c r="K12" i="10"/>
  <c r="N51" i="5"/>
  <c r="N52" i="5" s="1"/>
  <c r="O48" i="5"/>
  <c r="O26" i="5"/>
  <c r="O4" i="11"/>
  <c r="P4" i="5"/>
  <c r="O4" i="17"/>
  <c r="L45" i="4"/>
  <c r="N40" i="9"/>
  <c r="N41" i="9"/>
  <c r="L8" i="4"/>
  <c r="L5" i="4" s="1"/>
  <c r="L8" i="17"/>
  <c r="L6" i="17" s="1"/>
  <c r="H4" i="18"/>
  <c r="O51" i="5" l="1"/>
  <c r="O52" i="5" s="1"/>
  <c r="L12" i="10"/>
  <c r="M45" i="4"/>
  <c r="M8" i="4"/>
  <c r="M5" i="4" s="1"/>
  <c r="M8" i="17"/>
  <c r="M6" i="17" s="1"/>
  <c r="N10" i="9"/>
  <c r="N11" i="9"/>
  <c r="L15" i="4"/>
  <c r="L55" i="4"/>
  <c r="L16" i="17" s="1"/>
  <c r="Q8" i="9"/>
  <c r="R7" i="9"/>
  <c r="M43" i="4"/>
  <c r="P48" i="5"/>
  <c r="C9" i="18"/>
  <c r="C5" i="18"/>
  <c r="N16" i="11"/>
  <c r="N15" i="5" s="1"/>
  <c r="O13" i="11"/>
  <c r="N7" i="10"/>
  <c r="O38" i="9"/>
  <c r="O39" i="9"/>
  <c r="O41" i="9" s="1"/>
  <c r="I13" i="17"/>
  <c r="E19" i="10"/>
  <c r="B14" i="20"/>
  <c r="L42" i="4"/>
  <c r="D14" i="18"/>
  <c r="N7" i="17"/>
  <c r="P37" i="9"/>
  <c r="N6" i="4"/>
  <c r="J56" i="4"/>
  <c r="J13" i="17" s="1"/>
  <c r="J18" i="4"/>
  <c r="P26" i="5"/>
  <c r="P4" i="17"/>
  <c r="P4" i="11"/>
  <c r="Q4" i="5"/>
  <c r="D92" i="4"/>
  <c r="D91" i="4" s="1"/>
  <c r="D94" i="4" s="1"/>
  <c r="D49" i="4"/>
  <c r="AD50" i="4"/>
  <c r="K15" i="4"/>
  <c r="M10" i="9"/>
  <c r="K55" i="4"/>
  <c r="M11" i="9"/>
  <c r="F7" i="18"/>
  <c r="F17" i="18"/>
  <c r="F15" i="18" s="1"/>
  <c r="E17" i="18"/>
  <c r="E7" i="18"/>
  <c r="D5" i="18"/>
  <c r="M12" i="10" l="1"/>
  <c r="P51" i="5"/>
  <c r="P52" i="5"/>
  <c r="D8" i="11"/>
  <c r="D6" i="11" s="1"/>
  <c r="F5" i="18"/>
  <c r="C10" i="10" s="1"/>
  <c r="C5" i="10" s="1"/>
  <c r="P38" i="9"/>
  <c r="P39" i="9"/>
  <c r="P41" i="9" s="1"/>
  <c r="K16" i="17"/>
  <c r="N9" i="9"/>
  <c r="O7" i="10"/>
  <c r="P13" i="11"/>
  <c r="O16" i="11"/>
  <c r="O15" i="5" s="1"/>
  <c r="D59" i="4"/>
  <c r="O40" i="9"/>
  <c r="N43" i="4"/>
  <c r="N8" i="17"/>
  <c r="N45" i="4"/>
  <c r="N8" i="4"/>
  <c r="N5" i="4" s="1"/>
  <c r="P40" i="9"/>
  <c r="N6" i="17"/>
  <c r="D10" i="18"/>
  <c r="R8" i="9"/>
  <c r="S7" i="9"/>
  <c r="F14" i="18"/>
  <c r="F10" i="18" s="1"/>
  <c r="D25" i="17" s="1"/>
  <c r="D24" i="17" s="1"/>
  <c r="C15" i="18"/>
  <c r="M9" i="9"/>
  <c r="D95" i="4"/>
  <c r="D23" i="12"/>
  <c r="I11" i="18"/>
  <c r="Q4" i="17"/>
  <c r="Q26" i="5"/>
  <c r="Q4" i="11"/>
  <c r="R4" i="5"/>
  <c r="D29" i="5"/>
  <c r="H7" i="12"/>
  <c r="D10" i="12" s="1"/>
  <c r="H33" i="12" s="1"/>
  <c r="H7" i="18"/>
  <c r="D24" i="12" s="1"/>
  <c r="Q48" i="5"/>
  <c r="P30" i="5"/>
  <c r="P6" i="5" s="1"/>
  <c r="C14" i="20"/>
  <c r="F19" i="10"/>
  <c r="M42" i="4"/>
  <c r="E15" i="18"/>
  <c r="E5" i="18"/>
  <c r="H5" i="18" s="1"/>
  <c r="Q37" i="9"/>
  <c r="O6" i="4"/>
  <c r="O7" i="17"/>
  <c r="R4" i="11" l="1"/>
  <c r="R26" i="5"/>
  <c r="S4" i="5"/>
  <c r="R4" i="17"/>
  <c r="O43" i="4"/>
  <c r="O8" i="17"/>
  <c r="O8" i="4"/>
  <c r="O5" i="4" s="1"/>
  <c r="O45" i="4"/>
  <c r="P7" i="10"/>
  <c r="D14" i="20"/>
  <c r="G19" i="10"/>
  <c r="Q51" i="5"/>
  <c r="N12" i="10"/>
  <c r="Q52" i="5"/>
  <c r="E35" i="11"/>
  <c r="C14" i="18"/>
  <c r="C10" i="18" s="1"/>
  <c r="N55" i="4"/>
  <c r="N16" i="17" s="1"/>
  <c r="N15" i="4"/>
  <c r="P11" i="9"/>
  <c r="P10" i="9"/>
  <c r="P9" i="9" s="1"/>
  <c r="D56" i="12"/>
  <c r="D58" i="12" s="1"/>
  <c r="D39" i="12"/>
  <c r="Q39" i="9"/>
  <c r="Q41" i="9" s="1"/>
  <c r="Q38" i="9"/>
  <c r="D60" i="4"/>
  <c r="D68" i="4"/>
  <c r="O6" i="17"/>
  <c r="R48" i="5"/>
  <c r="Q30" i="5"/>
  <c r="Q6" i="5" s="1"/>
  <c r="E14" i="18"/>
  <c r="H15" i="18"/>
  <c r="L18" i="4"/>
  <c r="L56" i="4"/>
  <c r="L13" i="17" s="1"/>
  <c r="N42" i="4"/>
  <c r="K56" i="4"/>
  <c r="K18" i="4"/>
  <c r="C15" i="10"/>
  <c r="D20" i="17"/>
  <c r="D22" i="17" s="1"/>
  <c r="E7" i="11"/>
  <c r="E6" i="11" s="1"/>
  <c r="M55" i="4"/>
  <c r="M16" i="17" s="1"/>
  <c r="O11" i="9"/>
  <c r="O10" i="9"/>
  <c r="O9" i="9" s="1"/>
  <c r="M15" i="4"/>
  <c r="S7" i="5"/>
  <c r="E31" i="5"/>
  <c r="AC7" i="5"/>
  <c r="F7" i="5"/>
  <c r="N7" i="5"/>
  <c r="X7" i="5"/>
  <c r="T7" i="5"/>
  <c r="U7" i="5"/>
  <c r="AA7" i="5"/>
  <c r="Q7" i="5"/>
  <c r="E30" i="5"/>
  <c r="E6" i="5" s="1"/>
  <c r="M7" i="5"/>
  <c r="K7" i="5"/>
  <c r="Z7" i="5"/>
  <c r="P7" i="5"/>
  <c r="I7" i="5"/>
  <c r="G7" i="5"/>
  <c r="V7" i="5"/>
  <c r="E7" i="5"/>
  <c r="O7" i="5"/>
  <c r="J7" i="5"/>
  <c r="L7" i="5"/>
  <c r="R7" i="5"/>
  <c r="H7" i="5"/>
  <c r="F30" i="5"/>
  <c r="F6" i="5" s="1"/>
  <c r="Y7" i="5"/>
  <c r="W7" i="5"/>
  <c r="AB7" i="5"/>
  <c r="G30" i="5"/>
  <c r="G6" i="5" s="1"/>
  <c r="H30" i="5"/>
  <c r="H6" i="5" s="1"/>
  <c r="I30" i="5"/>
  <c r="I6" i="5" s="1"/>
  <c r="J30" i="5"/>
  <c r="J6" i="5" s="1"/>
  <c r="K30" i="5"/>
  <c r="K6" i="5" s="1"/>
  <c r="L30" i="5"/>
  <c r="L6" i="5" s="1"/>
  <c r="M30" i="5"/>
  <c r="M6" i="5" s="1"/>
  <c r="N30" i="5"/>
  <c r="N6" i="5" s="1"/>
  <c r="O30" i="5"/>
  <c r="O6" i="5" s="1"/>
  <c r="S8" i="9"/>
  <c r="T7" i="9"/>
  <c r="R37" i="9"/>
  <c r="P6" i="4"/>
  <c r="P7" i="17"/>
  <c r="P16" i="11"/>
  <c r="P15" i="5" s="1"/>
  <c r="Q13" i="11"/>
  <c r="E18" i="11" l="1"/>
  <c r="E28" i="17"/>
  <c r="C16" i="10"/>
  <c r="C17" i="10" s="1"/>
  <c r="C13" i="10" s="1"/>
  <c r="C25" i="10" s="1"/>
  <c r="N18" i="4"/>
  <c r="N56" i="4"/>
  <c r="N13" i="17" s="1"/>
  <c r="Q40" i="9"/>
  <c r="M18" i="4"/>
  <c r="M56" i="4"/>
  <c r="M13" i="17" s="1"/>
  <c r="E23" i="11"/>
  <c r="E11" i="11"/>
  <c r="E36" i="11" s="1"/>
  <c r="E10" i="11" s="1"/>
  <c r="P8" i="4"/>
  <c r="P5" i="4" s="1"/>
  <c r="P8" i="17"/>
  <c r="P6" i="17" s="1"/>
  <c r="R40" i="9"/>
  <c r="R41" i="9"/>
  <c r="P45" i="4"/>
  <c r="K13" i="17"/>
  <c r="S37" i="9"/>
  <c r="Q7" i="17"/>
  <c r="Q6" i="4"/>
  <c r="E10" i="18"/>
  <c r="H10" i="18" s="1"/>
  <c r="H14" i="18"/>
  <c r="Q7" i="10"/>
  <c r="K9" i="11"/>
  <c r="E9" i="11"/>
  <c r="R9" i="11"/>
  <c r="G9" i="11"/>
  <c r="Q9" i="11"/>
  <c r="M9" i="11"/>
  <c r="J9" i="11"/>
  <c r="H9" i="11"/>
  <c r="S9" i="11"/>
  <c r="F9" i="11"/>
  <c r="P9" i="11"/>
  <c r="I9" i="11"/>
  <c r="L9" i="11"/>
  <c r="O9" i="11"/>
  <c r="N9" i="11"/>
  <c r="S26" i="5"/>
  <c r="T4" i="5"/>
  <c r="S4" i="17"/>
  <c r="S4" i="11"/>
  <c r="S48" i="5"/>
  <c r="R30" i="5"/>
  <c r="R6" i="5" s="1"/>
  <c r="F31" i="5"/>
  <c r="E9" i="5"/>
  <c r="E22" i="5" s="1"/>
  <c r="B20" i="20"/>
  <c r="D11" i="10"/>
  <c r="E14" i="20"/>
  <c r="H19" i="10"/>
  <c r="R13" i="11"/>
  <c r="Q16" i="11"/>
  <c r="Q15" i="5" s="1"/>
  <c r="D18" i="17"/>
  <c r="D17" i="17" s="1"/>
  <c r="D33" i="17" s="1"/>
  <c r="D34" i="17" s="1"/>
  <c r="P43" i="4"/>
  <c r="O42" i="4"/>
  <c r="U7" i="9"/>
  <c r="T8" i="9"/>
  <c r="O12" i="10"/>
  <c r="R51" i="5"/>
  <c r="R52" i="5" s="1"/>
  <c r="C50" i="25"/>
  <c r="AD7" i="5"/>
  <c r="R39" i="9"/>
  <c r="R38" i="9"/>
  <c r="E17" i="4" l="1"/>
  <c r="E53" i="4"/>
  <c r="S51" i="5"/>
  <c r="S52" i="5" s="1"/>
  <c r="P12" i="10"/>
  <c r="E27" i="17"/>
  <c r="E25" i="11"/>
  <c r="F7" i="11"/>
  <c r="F6" i="11" s="1"/>
  <c r="O55" i="4"/>
  <c r="O16" i="17" s="1"/>
  <c r="Q11" i="9"/>
  <c r="O15" i="4"/>
  <c r="Q10" i="9"/>
  <c r="Q9" i="9" s="1"/>
  <c r="R16" i="11"/>
  <c r="R15" i="5" s="1"/>
  <c r="S13" i="11"/>
  <c r="P42" i="4"/>
  <c r="T4" i="11"/>
  <c r="U4" i="5"/>
  <c r="T4" i="17"/>
  <c r="T26" i="5"/>
  <c r="E20" i="11"/>
  <c r="E21" i="11" s="1"/>
  <c r="E16" i="5" s="1"/>
  <c r="E36" i="17"/>
  <c r="R11" i="9"/>
  <c r="R10" i="9"/>
  <c r="R9" i="9" s="1"/>
  <c r="P55" i="4"/>
  <c r="P16" i="17" s="1"/>
  <c r="P15" i="4"/>
  <c r="V7" i="9"/>
  <c r="U8" i="9"/>
  <c r="R7" i="10"/>
  <c r="E14" i="5"/>
  <c r="F14" i="20"/>
  <c r="I19" i="10"/>
  <c r="Q45" i="4"/>
  <c r="Q8" i="17"/>
  <c r="Q6" i="17" s="1"/>
  <c r="Q8" i="4"/>
  <c r="Q5" i="4" s="1"/>
  <c r="Q43" i="4"/>
  <c r="S30" i="5"/>
  <c r="S6" i="5" s="1"/>
  <c r="T48" i="5"/>
  <c r="F9" i="5"/>
  <c r="C20" i="20"/>
  <c r="G31" i="5"/>
  <c r="E11" i="10"/>
  <c r="R7" i="17"/>
  <c r="T37" i="9"/>
  <c r="R6" i="4"/>
  <c r="S38" i="9"/>
  <c r="S39" i="9"/>
  <c r="S41" i="9" s="1"/>
  <c r="T51" i="5" l="1"/>
  <c r="Q12" i="10"/>
  <c r="T52" i="5"/>
  <c r="R5" i="4"/>
  <c r="R43" i="4"/>
  <c r="R42" i="4" s="1"/>
  <c r="S40" i="9"/>
  <c r="U48" i="5"/>
  <c r="T30" i="5"/>
  <c r="T6" i="5" s="1"/>
  <c r="E13" i="5"/>
  <c r="T39" i="9"/>
  <c r="T41" i="9" s="1"/>
  <c r="T38" i="9"/>
  <c r="E26" i="11"/>
  <c r="U4" i="17"/>
  <c r="U4" i="11"/>
  <c r="U26" i="5"/>
  <c r="V4" i="5"/>
  <c r="S7" i="10"/>
  <c r="E12" i="4"/>
  <c r="O56" i="4"/>
  <c r="O13" i="17" s="1"/>
  <c r="O18" i="4"/>
  <c r="F11" i="11"/>
  <c r="D15" i="10"/>
  <c r="R8" i="17"/>
  <c r="R45" i="4"/>
  <c r="R8" i="4"/>
  <c r="G14" i="20"/>
  <c r="J19" i="10"/>
  <c r="R6" i="17"/>
  <c r="H31" i="5"/>
  <c r="G9" i="5"/>
  <c r="F11" i="10"/>
  <c r="D20" i="20"/>
  <c r="F22" i="5"/>
  <c r="S7" i="17"/>
  <c r="S6" i="4"/>
  <c r="U37" i="9"/>
  <c r="E12" i="17"/>
  <c r="W7" i="9"/>
  <c r="V8" i="9"/>
  <c r="Q42" i="4"/>
  <c r="T13" i="11"/>
  <c r="S16" i="11"/>
  <c r="S15" i="5" s="1"/>
  <c r="P18" i="4"/>
  <c r="P56" i="4"/>
  <c r="P13" i="17" s="1"/>
  <c r="U38" i="9" l="1"/>
  <c r="U39" i="9"/>
  <c r="K19" i="10"/>
  <c r="H14" i="20"/>
  <c r="Q15" i="4"/>
  <c r="S11" i="9"/>
  <c r="Q55" i="4"/>
  <c r="Q16" i="17" s="1"/>
  <c r="S10" i="9"/>
  <c r="S9" i="9" s="1"/>
  <c r="T7" i="10"/>
  <c r="W8" i="9"/>
  <c r="X7" i="9"/>
  <c r="E22" i="4"/>
  <c r="T40" i="9"/>
  <c r="S8" i="17"/>
  <c r="S45" i="4"/>
  <c r="U40" i="9"/>
  <c r="U41" i="9"/>
  <c r="S8" i="4"/>
  <c r="S5" i="4" s="1"/>
  <c r="W4" i="5"/>
  <c r="V26" i="5"/>
  <c r="V4" i="11"/>
  <c r="V4" i="17"/>
  <c r="U51" i="5"/>
  <c r="U52" i="5" s="1"/>
  <c r="R12" i="10"/>
  <c r="S43" i="4"/>
  <c r="V48" i="5"/>
  <c r="U30" i="5"/>
  <c r="U6" i="5" s="1"/>
  <c r="S6" i="17"/>
  <c r="U13" i="11"/>
  <c r="T16" i="11"/>
  <c r="T15" i="5" s="1"/>
  <c r="F14" i="5"/>
  <c r="F36" i="11"/>
  <c r="F10" i="11" s="1"/>
  <c r="G22" i="5"/>
  <c r="V37" i="9"/>
  <c r="T7" i="17"/>
  <c r="T6" i="4"/>
  <c r="I31" i="5"/>
  <c r="E20" i="20"/>
  <c r="G11" i="10"/>
  <c r="H9" i="5"/>
  <c r="E30" i="17"/>
  <c r="E52" i="4"/>
  <c r="E21" i="5"/>
  <c r="F17" i="4"/>
  <c r="F53" i="4"/>
  <c r="V51" i="5" l="1"/>
  <c r="V52" i="5" s="1"/>
  <c r="S12" i="10"/>
  <c r="F12" i="17"/>
  <c r="G14" i="9"/>
  <c r="U7" i="10"/>
  <c r="Q18" i="4"/>
  <c r="Q56" i="4"/>
  <c r="Q13" i="17" s="1"/>
  <c r="V13" i="11"/>
  <c r="U16" i="11"/>
  <c r="U15" i="5" s="1"/>
  <c r="S42" i="4"/>
  <c r="X8" i="9"/>
  <c r="Y7" i="9"/>
  <c r="F27" i="17"/>
  <c r="G7" i="11"/>
  <c r="G6" i="11" s="1"/>
  <c r="H22" i="5"/>
  <c r="I14" i="20"/>
  <c r="L19" i="10"/>
  <c r="T43" i="4"/>
  <c r="U11" i="9"/>
  <c r="U10" i="9"/>
  <c r="U9" i="9" s="1"/>
  <c r="S15" i="4"/>
  <c r="S55" i="4"/>
  <c r="S16" i="17" s="1"/>
  <c r="R15" i="4"/>
  <c r="T11" i="9"/>
  <c r="T10" i="9"/>
  <c r="T9" i="9" s="1"/>
  <c r="R55" i="4"/>
  <c r="R16" i="17" s="1"/>
  <c r="J31" i="5"/>
  <c r="I9" i="5"/>
  <c r="F20" i="20"/>
  <c r="H11" i="10"/>
  <c r="E25" i="4"/>
  <c r="E23" i="4"/>
  <c r="F12" i="4"/>
  <c r="G53" i="4"/>
  <c r="G12" i="17" s="1"/>
  <c r="G17" i="4"/>
  <c r="G12" i="4" s="1"/>
  <c r="G22" i="4" s="1"/>
  <c r="G25" i="4" s="1"/>
  <c r="W48" i="5"/>
  <c r="V30" i="5"/>
  <c r="V6" i="5" s="1"/>
  <c r="U6" i="4"/>
  <c r="W37" i="9"/>
  <c r="U7" i="17"/>
  <c r="X4" i="5"/>
  <c r="W4" i="17"/>
  <c r="W26" i="5"/>
  <c r="W4" i="11"/>
  <c r="T8" i="4"/>
  <c r="T5" i="4" s="1"/>
  <c r="T8" i="17"/>
  <c r="T6" i="17" s="1"/>
  <c r="T45" i="4"/>
  <c r="V38" i="9"/>
  <c r="V39" i="9"/>
  <c r="V40" i="9" s="1"/>
  <c r="T15" i="4" l="1"/>
  <c r="T55" i="4"/>
  <c r="T16" i="17" s="1"/>
  <c r="V11" i="9"/>
  <c r="V10" i="9"/>
  <c r="V9" i="9" s="1"/>
  <c r="W51" i="5"/>
  <c r="W52" i="5"/>
  <c r="T12" i="10"/>
  <c r="M19" i="10"/>
  <c r="J14" i="20"/>
  <c r="X48" i="5"/>
  <c r="W30" i="5"/>
  <c r="W6" i="5" s="1"/>
  <c r="U5" i="4"/>
  <c r="U43" i="4"/>
  <c r="I22" i="5"/>
  <c r="V16" i="11"/>
  <c r="V15" i="5" s="1"/>
  <c r="W13" i="11"/>
  <c r="I11" i="10"/>
  <c r="K31" i="5"/>
  <c r="J9" i="5"/>
  <c r="G20" i="20"/>
  <c r="R56" i="4"/>
  <c r="R13" i="17" s="1"/>
  <c r="R18" i="4"/>
  <c r="H17" i="4"/>
  <c r="H53" i="4"/>
  <c r="H12" i="17" s="1"/>
  <c r="E15" i="10"/>
  <c r="G11" i="11"/>
  <c r="V7" i="10"/>
  <c r="E26" i="4"/>
  <c r="S56" i="4"/>
  <c r="S13" i="17" s="1"/>
  <c r="S18" i="4"/>
  <c r="Z7" i="9"/>
  <c r="Y8" i="9"/>
  <c r="X4" i="17"/>
  <c r="X26" i="5"/>
  <c r="X4" i="11"/>
  <c r="Y4" i="5"/>
  <c r="V6" i="4"/>
  <c r="V7" i="17"/>
  <c r="X37" i="9"/>
  <c r="F22" i="4"/>
  <c r="G15" i="9"/>
  <c r="T42" i="4"/>
  <c r="W38" i="9"/>
  <c r="W39" i="9"/>
  <c r="W41" i="9" s="1"/>
  <c r="V41" i="9"/>
  <c r="U8" i="17"/>
  <c r="U6" i="17" s="1"/>
  <c r="U8" i="4"/>
  <c r="W40" i="9"/>
  <c r="U45" i="4"/>
  <c r="V43" i="4" l="1"/>
  <c r="Z4" i="5"/>
  <c r="Y26" i="5"/>
  <c r="Y4" i="11"/>
  <c r="Y4" i="17"/>
  <c r="X39" i="9"/>
  <c r="X38" i="9"/>
  <c r="W7" i="17"/>
  <c r="Y37" i="9"/>
  <c r="W6" i="4"/>
  <c r="Z8" i="9"/>
  <c r="AA7" i="9"/>
  <c r="X51" i="5"/>
  <c r="X52" i="5" s="1"/>
  <c r="U12" i="10"/>
  <c r="T56" i="4"/>
  <c r="T13" i="17" s="1"/>
  <c r="T18" i="4"/>
  <c r="F25" i="4"/>
  <c r="F26" i="4"/>
  <c r="F27" i="4" s="1"/>
  <c r="E27" i="4"/>
  <c r="J22" i="5"/>
  <c r="G14" i="5"/>
  <c r="G36" i="11"/>
  <c r="G10" i="11" s="1"/>
  <c r="X13" i="11"/>
  <c r="W16" i="11"/>
  <c r="W15" i="5" s="1"/>
  <c r="F23" i="4"/>
  <c r="G23" i="4" s="1"/>
  <c r="V45" i="4"/>
  <c r="V8" i="4"/>
  <c r="V5" i="4" s="1"/>
  <c r="X40" i="9"/>
  <c r="X41" i="9"/>
  <c r="V8" i="17"/>
  <c r="V6" i="17" s="1"/>
  <c r="I17" i="4"/>
  <c r="I53" i="4"/>
  <c r="U15" i="4"/>
  <c r="U55" i="4"/>
  <c r="U16" i="17" s="1"/>
  <c r="W11" i="9"/>
  <c r="W10" i="9"/>
  <c r="W9" i="9" s="1"/>
  <c r="K14" i="20"/>
  <c r="N19" i="10"/>
  <c r="W7" i="10"/>
  <c r="G21" i="9"/>
  <c r="E20" i="4"/>
  <c r="G23" i="9"/>
  <c r="G22" i="9"/>
  <c r="E27" i="11"/>
  <c r="J11" i="10"/>
  <c r="K9" i="5"/>
  <c r="L31" i="5"/>
  <c r="H20" i="20"/>
  <c r="Y48" i="5"/>
  <c r="X30" i="5"/>
  <c r="X6" i="5" s="1"/>
  <c r="U42" i="4"/>
  <c r="V12" i="10" l="1"/>
  <c r="Y51" i="5"/>
  <c r="Y52" i="5" s="1"/>
  <c r="X7" i="10"/>
  <c r="L9" i="5"/>
  <c r="K11" i="10"/>
  <c r="M31" i="5"/>
  <c r="I20" i="20"/>
  <c r="G27" i="17"/>
  <c r="H7" i="11"/>
  <c r="H6" i="11" s="1"/>
  <c r="E30" i="11"/>
  <c r="E31" i="11" s="1"/>
  <c r="E32" i="11" s="1"/>
  <c r="E28" i="11"/>
  <c r="E29" i="11" s="1"/>
  <c r="W43" i="4"/>
  <c r="Y41" i="9"/>
  <c r="W8" i="17"/>
  <c r="W8" i="4"/>
  <c r="W5" i="4" s="1"/>
  <c r="W45" i="4"/>
  <c r="Y40" i="9"/>
  <c r="V55" i="4"/>
  <c r="V16" i="17" s="1"/>
  <c r="V15" i="4"/>
  <c r="X10" i="9"/>
  <c r="X11" i="9"/>
  <c r="W6" i="17"/>
  <c r="Y39" i="9"/>
  <c r="Y38" i="9"/>
  <c r="X16" i="11"/>
  <c r="X15" i="5" s="1"/>
  <c r="Y13" i="11"/>
  <c r="Y30" i="5"/>
  <c r="Y6" i="5" s="1"/>
  <c r="Z48" i="5"/>
  <c r="U56" i="4"/>
  <c r="U13" i="17" s="1"/>
  <c r="U18" i="4"/>
  <c r="Z4" i="17"/>
  <c r="AA4" i="5"/>
  <c r="Z26" i="5"/>
  <c r="Z4" i="11"/>
  <c r="AA8" i="9"/>
  <c r="AB7" i="9"/>
  <c r="V42" i="4"/>
  <c r="G25" i="9"/>
  <c r="E57" i="4"/>
  <c r="O19" i="10"/>
  <c r="L14" i="20"/>
  <c r="K22" i="5"/>
  <c r="J17" i="4"/>
  <c r="J53" i="4"/>
  <c r="J12" i="17" s="1"/>
  <c r="I12" i="17"/>
  <c r="X7" i="17"/>
  <c r="X6" i="4"/>
  <c r="Z37" i="9"/>
  <c r="G26" i="4"/>
  <c r="G27" i="4"/>
  <c r="B21" i="20"/>
  <c r="B22" i="20" s="1"/>
  <c r="B23" i="20" s="1"/>
  <c r="Z51" i="5" l="1"/>
  <c r="Z52" i="5" s="1"/>
  <c r="W12" i="10"/>
  <c r="M14" i="20"/>
  <c r="P19" i="10"/>
  <c r="X8" i="4"/>
  <c r="X5" i="4" s="1"/>
  <c r="Z40" i="9"/>
  <c r="Z41" i="9"/>
  <c r="X45" i="4"/>
  <c r="X8" i="17"/>
  <c r="X6" i="17"/>
  <c r="Z13" i="11"/>
  <c r="Y16" i="11"/>
  <c r="Y15" i="5" s="1"/>
  <c r="AB8" i="9"/>
  <c r="AC7" i="9"/>
  <c r="AA48" i="5"/>
  <c r="Z30" i="5"/>
  <c r="Z6" i="5" s="1"/>
  <c r="AA26" i="5"/>
  <c r="AA4" i="11"/>
  <c r="AA4" i="17"/>
  <c r="AB4" i="5"/>
  <c r="K17" i="4"/>
  <c r="K53" i="4"/>
  <c r="K12" i="17" s="1"/>
  <c r="L22" i="5"/>
  <c r="Y7" i="10"/>
  <c r="E15" i="17"/>
  <c r="W42" i="4"/>
  <c r="G26" i="9"/>
  <c r="G16" i="9"/>
  <c r="Y6" i="4"/>
  <c r="AA37" i="9"/>
  <c r="Y7" i="17"/>
  <c r="Z38" i="9"/>
  <c r="Z39" i="9"/>
  <c r="F15" i="10"/>
  <c r="H11" i="11"/>
  <c r="X9" i="9"/>
  <c r="N31" i="5"/>
  <c r="M9" i="5"/>
  <c r="J20" i="20"/>
  <c r="L11" i="10"/>
  <c r="W15" i="4"/>
  <c r="Y11" i="9"/>
  <c r="Y10" i="9"/>
  <c r="Y9" i="9" s="1"/>
  <c r="W55" i="4"/>
  <c r="W16" i="17" s="1"/>
  <c r="X43" i="4"/>
  <c r="X12" i="10" l="1"/>
  <c r="AA51" i="5"/>
  <c r="AA52" i="5"/>
  <c r="Y6" i="17"/>
  <c r="Y43" i="4"/>
  <c r="Y5" i="4"/>
  <c r="Q19" i="10"/>
  <c r="N14" i="20"/>
  <c r="AD7" i="9"/>
  <c r="AC8" i="9"/>
  <c r="M22" i="5"/>
  <c r="Y45" i="4"/>
  <c r="Y8" i="17"/>
  <c r="AA41" i="9"/>
  <c r="Y8" i="4"/>
  <c r="E11" i="17"/>
  <c r="E5" i="17" s="1"/>
  <c r="W56" i="4"/>
  <c r="W13" i="17" s="1"/>
  <c r="W18" i="4"/>
  <c r="H14" i="5"/>
  <c r="H36" i="11"/>
  <c r="H10" i="11" s="1"/>
  <c r="Z7" i="10"/>
  <c r="AB37" i="9"/>
  <c r="Z7" i="17"/>
  <c r="Z6" i="4"/>
  <c r="L53" i="4"/>
  <c r="L12" i="17" s="1"/>
  <c r="L17" i="4"/>
  <c r="G27" i="9"/>
  <c r="G29" i="9"/>
  <c r="X42" i="4"/>
  <c r="AA38" i="9"/>
  <c r="AA39" i="9"/>
  <c r="AA40" i="9" s="1"/>
  <c r="M11" i="10"/>
  <c r="O31" i="5"/>
  <c r="K20" i="20"/>
  <c r="N9" i="5"/>
  <c r="V18" i="4"/>
  <c r="V56" i="4"/>
  <c r="V13" i="17" s="1"/>
  <c r="AC4" i="5"/>
  <c r="AB4" i="17"/>
  <c r="AB26" i="5"/>
  <c r="AB4" i="11"/>
  <c r="Z10" i="9"/>
  <c r="Z11" i="9"/>
  <c r="X55" i="4"/>
  <c r="X16" i="17" s="1"/>
  <c r="X15" i="4"/>
  <c r="AB48" i="5"/>
  <c r="AA30" i="5"/>
  <c r="AA6" i="5" s="1"/>
  <c r="AA13" i="11"/>
  <c r="Z16" i="11"/>
  <c r="Z15" i="5" s="1"/>
  <c r="AA11" i="9" l="1"/>
  <c r="Y15" i="4"/>
  <c r="Y55" i="4"/>
  <c r="Y16" i="17" s="1"/>
  <c r="AA10" i="9"/>
  <c r="AA7" i="17"/>
  <c r="AC37" i="9"/>
  <c r="AA6" i="4"/>
  <c r="AC4" i="17"/>
  <c r="AC4" i="11"/>
  <c r="AC26" i="5"/>
  <c r="E40" i="17"/>
  <c r="E41" i="17" s="1"/>
  <c r="E31" i="17" s="1"/>
  <c r="M17" i="4"/>
  <c r="M53" i="4"/>
  <c r="M12" i="17" s="1"/>
  <c r="Z9" i="9"/>
  <c r="D20" i="10"/>
  <c r="AC48" i="5"/>
  <c r="AB30" i="5"/>
  <c r="AB6" i="5" s="1"/>
  <c r="AD8" i="9"/>
  <c r="AE7" i="9"/>
  <c r="AE8" i="9" s="1"/>
  <c r="Z43" i="4"/>
  <c r="Z42" i="4" s="1"/>
  <c r="Z5" i="4"/>
  <c r="O14" i="20"/>
  <c r="R19" i="10"/>
  <c r="Y42" i="4"/>
  <c r="N22" i="5"/>
  <c r="AA16" i="11"/>
  <c r="AA15" i="5" s="1"/>
  <c r="AB13" i="11"/>
  <c r="Z6" i="17"/>
  <c r="O9" i="5"/>
  <c r="P31" i="5"/>
  <c r="L20" i="20"/>
  <c r="N11" i="10"/>
  <c r="Z45" i="4"/>
  <c r="Z8" i="4"/>
  <c r="Z8" i="17"/>
  <c r="AB51" i="5"/>
  <c r="AB52" i="5"/>
  <c r="Y12" i="10"/>
  <c r="AA7" i="10"/>
  <c r="AB39" i="9"/>
  <c r="AB40" i="9" s="1"/>
  <c r="AB38" i="9"/>
  <c r="H27" i="17"/>
  <c r="I7" i="11"/>
  <c r="I6" i="11" s="1"/>
  <c r="Z15" i="4" l="1"/>
  <c r="Z55" i="4"/>
  <c r="Z16" i="17" s="1"/>
  <c r="AB10" i="9"/>
  <c r="AB11" i="9"/>
  <c r="G32" i="9"/>
  <c r="E24" i="17"/>
  <c r="AA43" i="4"/>
  <c r="AB7" i="17"/>
  <c r="AB6" i="4"/>
  <c r="AD37" i="9"/>
  <c r="AA6" i="17"/>
  <c r="AC13" i="11"/>
  <c r="AC16" i="11" s="1"/>
  <c r="AC15" i="5" s="1"/>
  <c r="AD15" i="5" s="1"/>
  <c r="AB16" i="11"/>
  <c r="AB15" i="5" s="1"/>
  <c r="AD6" i="5"/>
  <c r="D51" i="12" s="1"/>
  <c r="P14" i="20"/>
  <c r="S19" i="10"/>
  <c r="AC39" i="9"/>
  <c r="AC38" i="9"/>
  <c r="P9" i="5"/>
  <c r="O11" i="10"/>
  <c r="Q31" i="5"/>
  <c r="M20" i="20"/>
  <c r="AC30" i="5"/>
  <c r="AD48" i="5"/>
  <c r="O22" i="5"/>
  <c r="AB7" i="10"/>
  <c r="AC7" i="17"/>
  <c r="AE37" i="9"/>
  <c r="AC6" i="4"/>
  <c r="AF8" i="9"/>
  <c r="D30" i="12" s="1"/>
  <c r="AC40" i="9"/>
  <c r="AA45" i="4"/>
  <c r="AA8" i="4"/>
  <c r="AA5" i="4" s="1"/>
  <c r="AC41" i="9"/>
  <c r="AA8" i="17"/>
  <c r="N53" i="4"/>
  <c r="N12" i="17" s="1"/>
  <c r="N17" i="4"/>
  <c r="Z12" i="10"/>
  <c r="AC51" i="5"/>
  <c r="AC52" i="5"/>
  <c r="AB41" i="9"/>
  <c r="B15" i="20"/>
  <c r="X18" i="4"/>
  <c r="X56" i="4"/>
  <c r="X13" i="17" s="1"/>
  <c r="AA9" i="9"/>
  <c r="I11" i="11"/>
  <c r="G15" i="10"/>
  <c r="Y18" i="4" l="1"/>
  <c r="Y56" i="4"/>
  <c r="Y13" i="17" s="1"/>
  <c r="P22" i="5"/>
  <c r="AD38" i="9"/>
  <c r="AD39" i="9"/>
  <c r="AB8" i="17"/>
  <c r="AB45" i="4"/>
  <c r="AB8" i="4"/>
  <c r="AB5" i="4" s="1"/>
  <c r="AD40" i="9"/>
  <c r="AD41" i="9"/>
  <c r="AC43" i="4"/>
  <c r="AD6" i="4"/>
  <c r="AB43" i="4"/>
  <c r="AC45" i="4"/>
  <c r="AD45" i="4" s="1"/>
  <c r="AC8" i="17"/>
  <c r="AD8" i="17" s="1"/>
  <c r="AC8" i="4"/>
  <c r="AA55" i="4"/>
  <c r="AA16" i="17" s="1"/>
  <c r="AA15" i="4"/>
  <c r="AC10" i="9"/>
  <c r="AC11" i="9"/>
  <c r="AB6" i="17"/>
  <c r="AC6" i="17"/>
  <c r="AA42" i="4"/>
  <c r="AA12" i="10"/>
  <c r="AD51" i="5"/>
  <c r="AD52" i="5"/>
  <c r="AB12" i="10" s="1"/>
  <c r="Q14" i="20"/>
  <c r="T19" i="10"/>
  <c r="E22" i="17"/>
  <c r="E85" i="4"/>
  <c r="G33" i="9"/>
  <c r="D21" i="10" s="1"/>
  <c r="D18" i="10" s="1"/>
  <c r="B26" i="20" s="1"/>
  <c r="O17" i="4"/>
  <c r="O53" i="4"/>
  <c r="O12" i="17" s="1"/>
  <c r="AB9" i="9"/>
  <c r="I14" i="5"/>
  <c r="I36" i="11"/>
  <c r="I10" i="11" s="1"/>
  <c r="Q9" i="5"/>
  <c r="P11" i="10"/>
  <c r="R31" i="5"/>
  <c r="N20" i="20"/>
  <c r="AD43" i="4" l="1"/>
  <c r="AB15" i="4"/>
  <c r="AD11" i="9"/>
  <c r="AB55" i="4"/>
  <c r="AB16" i="17" s="1"/>
  <c r="AD10" i="9"/>
  <c r="AC9" i="9"/>
  <c r="E84" i="4"/>
  <c r="E94" i="4" s="1"/>
  <c r="Z56" i="4"/>
  <c r="Z13" i="17" s="1"/>
  <c r="Z18" i="4"/>
  <c r="D16" i="10"/>
  <c r="D17" i="10" s="1"/>
  <c r="F28" i="17"/>
  <c r="F18" i="11"/>
  <c r="F23" i="11" s="1"/>
  <c r="E18" i="17"/>
  <c r="E51" i="4"/>
  <c r="Q11" i="10"/>
  <c r="S31" i="5"/>
  <c r="O20" i="20"/>
  <c r="R9" i="5"/>
  <c r="P17" i="4"/>
  <c r="P53" i="4"/>
  <c r="P12" i="17" s="1"/>
  <c r="U19" i="10"/>
  <c r="R14" i="20"/>
  <c r="Q22" i="5"/>
  <c r="I27" i="17"/>
  <c r="J7" i="11"/>
  <c r="J6" i="11" s="1"/>
  <c r="AE38" i="9"/>
  <c r="AE39" i="9"/>
  <c r="AD8" i="4"/>
  <c r="AB42" i="4"/>
  <c r="S14" i="20" l="1"/>
  <c r="V19" i="10"/>
  <c r="AA56" i="4"/>
  <c r="AA13" i="17" s="1"/>
  <c r="AA18" i="4"/>
  <c r="AE41" i="9"/>
  <c r="AE40" i="9"/>
  <c r="AD9" i="9"/>
  <c r="Q17" i="4"/>
  <c r="Q53" i="4"/>
  <c r="Q12" i="17" s="1"/>
  <c r="P20" i="20"/>
  <c r="T31" i="5"/>
  <c r="R11" i="10"/>
  <c r="S9" i="5"/>
  <c r="E49" i="4"/>
  <c r="H15" i="10"/>
  <c r="J11" i="11"/>
  <c r="E17" i="17"/>
  <c r="E38" i="17"/>
  <c r="E39" i="17" s="1"/>
  <c r="D13" i="10"/>
  <c r="E95" i="4"/>
  <c r="R22" i="5"/>
  <c r="F20" i="11"/>
  <c r="F36" i="17"/>
  <c r="T9" i="5" l="1"/>
  <c r="Q20" i="20"/>
  <c r="S11" i="10"/>
  <c r="U31" i="5"/>
  <c r="AB18" i="4"/>
  <c r="AB56" i="4"/>
  <c r="AB13" i="17" s="1"/>
  <c r="AE10" i="9"/>
  <c r="AC15" i="4"/>
  <c r="AC55" i="4"/>
  <c r="AE11" i="9"/>
  <c r="AF11" i="9" s="1"/>
  <c r="E42" i="17"/>
  <c r="E33" i="17"/>
  <c r="E34" i="17" s="1"/>
  <c r="F21" i="11"/>
  <c r="F25" i="11"/>
  <c r="R53" i="4"/>
  <c r="R12" i="17" s="1"/>
  <c r="R17" i="4"/>
  <c r="J14" i="5"/>
  <c r="J36" i="11"/>
  <c r="J10" i="11" s="1"/>
  <c r="E59" i="4"/>
  <c r="W19" i="10"/>
  <c r="T14" i="20"/>
  <c r="S22" i="5"/>
  <c r="F16" i="5" l="1"/>
  <c r="F26" i="11"/>
  <c r="D8" i="10"/>
  <c r="D6" i="10" s="1"/>
  <c r="D5" i="10" s="1"/>
  <c r="S17" i="4"/>
  <c r="S53" i="4"/>
  <c r="S12" i="17" s="1"/>
  <c r="AC16" i="17"/>
  <c r="AD16" i="17" s="1"/>
  <c r="AD55" i="4"/>
  <c r="X19" i="10"/>
  <c r="U14" i="20"/>
  <c r="AD15" i="4"/>
  <c r="AE9" i="9"/>
  <c r="AF10" i="9"/>
  <c r="B5" i="20"/>
  <c r="E68" i="4"/>
  <c r="E60" i="4"/>
  <c r="J27" i="17"/>
  <c r="K7" i="11"/>
  <c r="K6" i="11" s="1"/>
  <c r="U9" i="5"/>
  <c r="R20" i="20"/>
  <c r="T11" i="10"/>
  <c r="V31" i="5"/>
  <c r="T22" i="5"/>
  <c r="S20" i="20" l="1"/>
  <c r="U11" i="10"/>
  <c r="W31" i="5"/>
  <c r="V9" i="5"/>
  <c r="U22" i="5"/>
  <c r="K11" i="11"/>
  <c r="I15" i="10"/>
  <c r="T17" i="4"/>
  <c r="T53" i="4"/>
  <c r="T12" i="17" s="1"/>
  <c r="B6" i="20"/>
  <c r="B28" i="20"/>
  <c r="AC56" i="4"/>
  <c r="AC18" i="4"/>
  <c r="AD18" i="4" s="1"/>
  <c r="AF9" i="9"/>
  <c r="D32" i="12" s="1"/>
  <c r="V14" i="20"/>
  <c r="Y19" i="10"/>
  <c r="D25" i="10"/>
  <c r="D26" i="10" s="1"/>
  <c r="D23" i="10"/>
  <c r="F13" i="5"/>
  <c r="F30" i="17" l="1"/>
  <c r="F52" i="4"/>
  <c r="F21" i="5"/>
  <c r="G43" i="9"/>
  <c r="Z19" i="10"/>
  <c r="W14" i="20"/>
  <c r="K14" i="5"/>
  <c r="K36" i="11"/>
  <c r="K10" i="11" s="1"/>
  <c r="U17" i="4"/>
  <c r="U53" i="4"/>
  <c r="U12" i="17" s="1"/>
  <c r="V22" i="5"/>
  <c r="T20" i="20"/>
  <c r="X31" i="5"/>
  <c r="V11" i="10"/>
  <c r="W9" i="5"/>
  <c r="AC13" i="17"/>
  <c r="AD13" i="17" s="1"/>
  <c r="AD56" i="4"/>
  <c r="D52" i="12" s="1"/>
  <c r="H50" i="12" l="1"/>
  <c r="Y31" i="5"/>
  <c r="X9" i="5"/>
  <c r="W11" i="10"/>
  <c r="U20" i="20"/>
  <c r="X14" i="20"/>
  <c r="AA19" i="10"/>
  <c r="W22" i="5"/>
  <c r="H14" i="9"/>
  <c r="V17" i="4"/>
  <c r="V53" i="4"/>
  <c r="V12" i="17" s="1"/>
  <c r="F38" i="17"/>
  <c r="K27" i="17"/>
  <c r="L7" i="11"/>
  <c r="L6" i="11" s="1"/>
  <c r="AB19" i="10" l="1"/>
  <c r="Y14" i="20"/>
  <c r="AC46" i="4"/>
  <c r="AC9" i="4"/>
  <c r="Y9" i="5"/>
  <c r="X11" i="10"/>
  <c r="Y11" i="10" s="1"/>
  <c r="Z11" i="10" s="1"/>
  <c r="AA11" i="10" s="1"/>
  <c r="AB11" i="10" s="1"/>
  <c r="Z31" i="5"/>
  <c r="W17" i="4"/>
  <c r="W53" i="4"/>
  <c r="W12" i="17" s="1"/>
  <c r="H15" i="9"/>
  <c r="J15" i="10"/>
  <c r="L11" i="11"/>
  <c r="X22" i="5"/>
  <c r="H23" i="9" l="1"/>
  <c r="F20" i="4"/>
  <c r="H22" i="9"/>
  <c r="H21" i="9"/>
  <c r="F27" i="11"/>
  <c r="X53" i="4"/>
  <c r="X12" i="17" s="1"/>
  <c r="X17" i="4"/>
  <c r="AD9" i="4"/>
  <c r="AC87" i="4"/>
  <c r="AC5" i="4"/>
  <c r="Y22" i="5"/>
  <c r="AD46" i="4"/>
  <c r="AC42" i="4"/>
  <c r="Z14" i="20"/>
  <c r="Z9" i="5"/>
  <c r="AA31" i="5"/>
  <c r="L14" i="5"/>
  <c r="L36" i="11"/>
  <c r="L10" i="11" s="1"/>
  <c r="Y17" i="4" l="1"/>
  <c r="Y53" i="4"/>
  <c r="Y12" i="17" s="1"/>
  <c r="AD5" i="4"/>
  <c r="AA9" i="5"/>
  <c r="AB31" i="5"/>
  <c r="Z22" i="5"/>
  <c r="C22" i="20"/>
  <c r="C23" i="20" s="1"/>
  <c r="C21" i="20"/>
  <c r="L27" i="17"/>
  <c r="M7" i="11"/>
  <c r="M6" i="11" s="1"/>
  <c r="AD42" i="4"/>
  <c r="H25" i="9"/>
  <c r="H16" i="9" s="1"/>
  <c r="F57" i="4"/>
  <c r="F28" i="11"/>
  <c r="F29" i="11" s="1"/>
  <c r="F30" i="11"/>
  <c r="F31" i="11" s="1"/>
  <c r="F32" i="11" s="1"/>
  <c r="H26" i="9"/>
  <c r="Z53" i="4" l="1"/>
  <c r="Z12" i="17" s="1"/>
  <c r="Z17" i="4"/>
  <c r="AA22" i="5"/>
  <c r="K15" i="10"/>
  <c r="M11" i="11"/>
  <c r="H27" i="9"/>
  <c r="H29" i="9" s="1"/>
  <c r="AB9" i="5"/>
  <c r="AC31" i="5"/>
  <c r="AC9" i="5" s="1"/>
  <c r="F15" i="17"/>
  <c r="F40" i="17" l="1"/>
  <c r="F41" i="17" s="1"/>
  <c r="F31" i="17" s="1"/>
  <c r="F11" i="17"/>
  <c r="F5" i="17" s="1"/>
  <c r="AC22" i="5"/>
  <c r="AD9" i="5"/>
  <c r="AA53" i="4"/>
  <c r="AA12" i="17" s="1"/>
  <c r="AA17" i="4"/>
  <c r="E20" i="10"/>
  <c r="M14" i="5"/>
  <c r="M36" i="11"/>
  <c r="M10" i="11" s="1"/>
  <c r="AB22" i="5"/>
  <c r="AC17" i="4" l="1"/>
  <c r="AC53" i="4"/>
  <c r="AD22" i="5"/>
  <c r="AB17" i="4"/>
  <c r="AB53" i="4"/>
  <c r="AB12" i="17" s="1"/>
  <c r="M27" i="17"/>
  <c r="N7" i="11"/>
  <c r="N6" i="11" s="1"/>
  <c r="C15" i="20"/>
  <c r="F39" i="17"/>
  <c r="H32" i="9"/>
  <c r="F24" i="17"/>
  <c r="AD17" i="4" l="1"/>
  <c r="N11" i="11"/>
  <c r="L15" i="10"/>
  <c r="D34" i="12"/>
  <c r="D12" i="12"/>
  <c r="AC12" i="17"/>
  <c r="AD53" i="4"/>
  <c r="F85" i="4"/>
  <c r="H33" i="9"/>
  <c r="E21" i="10" s="1"/>
  <c r="E18" i="10" s="1"/>
  <c r="C26" i="20" s="1"/>
  <c r="F22" i="17"/>
  <c r="F84" i="4" l="1"/>
  <c r="F94" i="4" s="1"/>
  <c r="AD12" i="17"/>
  <c r="D14" i="12"/>
  <c r="D13" i="12"/>
  <c r="D36" i="12"/>
  <c r="D35" i="12"/>
  <c r="N14" i="5"/>
  <c r="N36" i="11"/>
  <c r="N10" i="11" s="1"/>
  <c r="G28" i="17"/>
  <c r="E16" i="10"/>
  <c r="E17" i="10" s="1"/>
  <c r="F18" i="17"/>
  <c r="F17" i="17" s="1"/>
  <c r="G18" i="11"/>
  <c r="G23" i="11" s="1"/>
  <c r="F51" i="4"/>
  <c r="F95" i="4" l="1"/>
  <c r="F33" i="17"/>
  <c r="F42" i="17"/>
  <c r="E13" i="10"/>
  <c r="G20" i="11"/>
  <c r="G36" i="17"/>
  <c r="N27" i="17"/>
  <c r="O7" i="11"/>
  <c r="O6" i="11" s="1"/>
  <c r="F49" i="4"/>
  <c r="O11" i="11" l="1"/>
  <c r="M15" i="10"/>
  <c r="G21" i="11"/>
  <c r="G25" i="11"/>
  <c r="F34" i="17"/>
  <c r="F59" i="4"/>
  <c r="G16" i="5" l="1"/>
  <c r="G26" i="11"/>
  <c r="O14" i="5"/>
  <c r="O36" i="11"/>
  <c r="O10" i="11" s="1"/>
  <c r="F68" i="4"/>
  <c r="C5" i="20"/>
  <c r="F60" i="4"/>
  <c r="E8" i="10"/>
  <c r="E6" i="10" s="1"/>
  <c r="E5" i="10" s="1"/>
  <c r="C28" i="20" l="1"/>
  <c r="C6" i="20"/>
  <c r="O27" i="17"/>
  <c r="P7" i="11"/>
  <c r="P6" i="11" s="1"/>
  <c r="E25" i="10"/>
  <c r="E26" i="10" s="1"/>
  <c r="E23" i="10"/>
  <c r="G13" i="5"/>
  <c r="G30" i="17" l="1"/>
  <c r="G52" i="4"/>
  <c r="G21" i="5"/>
  <c r="H43" i="9"/>
  <c r="N15" i="10"/>
  <c r="P11" i="11"/>
  <c r="I14" i="9" l="1"/>
  <c r="P14" i="5"/>
  <c r="P36" i="11"/>
  <c r="P10" i="11" s="1"/>
  <c r="G38" i="17"/>
  <c r="I15" i="9" l="1"/>
  <c r="P27" i="17"/>
  <c r="Q7" i="11"/>
  <c r="Q6" i="11" s="1"/>
  <c r="Q11" i="11" l="1"/>
  <c r="O15" i="10"/>
  <c r="I22" i="9"/>
  <c r="I23" i="9"/>
  <c r="G20" i="4"/>
  <c r="I21" i="9"/>
  <c r="G27" i="11"/>
  <c r="G30" i="11" l="1"/>
  <c r="G31" i="11" s="1"/>
  <c r="G32" i="11" s="1"/>
  <c r="G28" i="11"/>
  <c r="G29" i="11" s="1"/>
  <c r="I25" i="9"/>
  <c r="G57" i="4"/>
  <c r="D21" i="20"/>
  <c r="D22" i="20"/>
  <c r="D23" i="20" s="1"/>
  <c r="Q14" i="5"/>
  <c r="Q36" i="11"/>
  <c r="Q10" i="11" s="1"/>
  <c r="Q27" i="17" l="1"/>
  <c r="R7" i="11"/>
  <c r="R6" i="11" s="1"/>
  <c r="G15" i="17"/>
  <c r="I26" i="9"/>
  <c r="I16" i="9"/>
  <c r="I27" i="9" l="1"/>
  <c r="G11" i="17"/>
  <c r="G5" i="17" s="1"/>
  <c r="R11" i="11"/>
  <c r="P15" i="10"/>
  <c r="F20" i="10" l="1"/>
  <c r="R14" i="5"/>
  <c r="R36" i="11"/>
  <c r="R10" i="11" s="1"/>
  <c r="G39" i="17"/>
  <c r="I29" i="9"/>
  <c r="G40" i="17" l="1"/>
  <c r="G41" i="17" s="1"/>
  <c r="G31" i="17" s="1"/>
  <c r="R27" i="17"/>
  <c r="S7" i="11"/>
  <c r="S6" i="11" s="1"/>
  <c r="D15" i="20"/>
  <c r="I32" i="9" l="1"/>
  <c r="G24" i="17"/>
  <c r="S11" i="11"/>
  <c r="Q15" i="10"/>
  <c r="G85" i="4" l="1"/>
  <c r="I33" i="9"/>
  <c r="F21" i="10" s="1"/>
  <c r="F18" i="10" s="1"/>
  <c r="D26" i="20" s="1"/>
  <c r="S14" i="5"/>
  <c r="S36" i="11"/>
  <c r="S10" i="11" s="1"/>
  <c r="G22" i="17"/>
  <c r="H28" i="17" l="1"/>
  <c r="G18" i="17"/>
  <c r="G17" i="17" s="1"/>
  <c r="H18" i="11"/>
  <c r="H23" i="11" s="1"/>
  <c r="F16" i="10"/>
  <c r="F17" i="10" s="1"/>
  <c r="G51" i="4"/>
  <c r="S27" i="17"/>
  <c r="T7" i="11"/>
  <c r="T6" i="11" s="1"/>
  <c r="G84" i="4"/>
  <c r="G94" i="4" s="1"/>
  <c r="AD27" i="17" l="1"/>
  <c r="F13" i="10"/>
  <c r="G95" i="4"/>
  <c r="T11" i="11"/>
  <c r="R15" i="10"/>
  <c r="U7" i="11"/>
  <c r="U6" i="11" s="1"/>
  <c r="G49" i="4"/>
  <c r="G42" i="17"/>
  <c r="G33" i="17"/>
  <c r="H20" i="11"/>
  <c r="H36" i="17"/>
  <c r="G34" i="17" l="1"/>
  <c r="G59" i="4"/>
  <c r="U11" i="11"/>
  <c r="V7" i="11"/>
  <c r="V6" i="11" s="1"/>
  <c r="S15" i="10"/>
  <c r="T14" i="5"/>
  <c r="T9" i="11"/>
  <c r="H21" i="11"/>
  <c r="H25" i="11"/>
  <c r="F8" i="10" l="1"/>
  <c r="F6" i="10" s="1"/>
  <c r="F5" i="10" s="1"/>
  <c r="H16" i="5"/>
  <c r="H26" i="11"/>
  <c r="T15" i="10"/>
  <c r="W7" i="11"/>
  <c r="W6" i="11" s="1"/>
  <c r="V11" i="11"/>
  <c r="U14" i="5"/>
  <c r="U9" i="11"/>
  <c r="D5" i="20"/>
  <c r="G68" i="4"/>
  <c r="G60" i="4"/>
  <c r="D28" i="20" l="1"/>
  <c r="D6" i="20"/>
  <c r="V14" i="5"/>
  <c r="V9" i="11"/>
  <c r="U15" i="10"/>
  <c r="W11" i="11"/>
  <c r="X7" i="11"/>
  <c r="X6" i="11" s="1"/>
  <c r="H13" i="5"/>
  <c r="F25" i="10"/>
  <c r="F26" i="10" s="1"/>
  <c r="F23" i="10"/>
  <c r="I43" i="9" l="1"/>
  <c r="H30" i="17"/>
  <c r="H52" i="4"/>
  <c r="H21" i="5"/>
  <c r="W9" i="11"/>
  <c r="W14" i="5"/>
  <c r="X11" i="11"/>
  <c r="V15" i="10"/>
  <c r="Y7" i="11"/>
  <c r="Y6" i="11" s="1"/>
  <c r="Z7" i="11" l="1"/>
  <c r="Z6" i="11" s="1"/>
  <c r="W15" i="10"/>
  <c r="Y11" i="11"/>
  <c r="X9" i="11"/>
  <c r="X14" i="5"/>
  <c r="J14" i="9"/>
  <c r="H38" i="17"/>
  <c r="Y14" i="5" l="1"/>
  <c r="Y9" i="11"/>
  <c r="J15" i="9"/>
  <c r="AA7" i="11"/>
  <c r="AA6" i="11" s="1"/>
  <c r="Z11" i="11"/>
  <c r="Z9" i="11" l="1"/>
  <c r="Z14" i="5"/>
  <c r="AA11" i="11"/>
  <c r="AB7" i="11"/>
  <c r="AB6" i="11" s="1"/>
  <c r="J22" i="9"/>
  <c r="H20" i="4"/>
  <c r="J21" i="9"/>
  <c r="J23" i="9"/>
  <c r="H27" i="11"/>
  <c r="H28" i="11" l="1"/>
  <c r="H29" i="11" s="1"/>
  <c r="H30" i="11"/>
  <c r="H31" i="11" s="1"/>
  <c r="H32" i="11" s="1"/>
  <c r="J25" i="9"/>
  <c r="H57" i="4"/>
  <c r="H19" i="4"/>
  <c r="AC7" i="11"/>
  <c r="AC6" i="11" s="1"/>
  <c r="AB11" i="11"/>
  <c r="AA9" i="11"/>
  <c r="AA14" i="5"/>
  <c r="H12" i="4" l="1"/>
  <c r="AB14" i="5"/>
  <c r="AB9" i="11"/>
  <c r="AC11" i="11"/>
  <c r="E22" i="20"/>
  <c r="E23" i="20" s="1"/>
  <c r="E21" i="20"/>
  <c r="H15" i="17"/>
  <c r="J26" i="9"/>
  <c r="J16" i="9"/>
  <c r="J27" i="9" l="1"/>
  <c r="H11" i="17"/>
  <c r="H5" i="17" s="1"/>
  <c r="AC14" i="5"/>
  <c r="AC9" i="11"/>
  <c r="H22" i="4"/>
  <c r="H25" i="4" l="1"/>
  <c r="H23" i="4"/>
  <c r="AD14" i="5"/>
  <c r="G20" i="10"/>
  <c r="H39" i="17"/>
  <c r="J29" i="9"/>
  <c r="H40" i="17" l="1"/>
  <c r="H41" i="17" s="1"/>
  <c r="H31" i="17" s="1"/>
  <c r="E15" i="20"/>
  <c r="H26" i="4"/>
  <c r="H27" i="4" l="1"/>
  <c r="J32" i="9"/>
  <c r="H24" i="17"/>
  <c r="H22" i="17" s="1"/>
  <c r="G16" i="10" l="1"/>
  <c r="G17" i="10" s="1"/>
  <c r="I18" i="11"/>
  <c r="I23" i="11" s="1"/>
  <c r="I28" i="17"/>
  <c r="H18" i="17"/>
  <c r="H17" i="17" s="1"/>
  <c r="H51" i="4"/>
  <c r="H85" i="4"/>
  <c r="J33" i="9"/>
  <c r="G21" i="10" s="1"/>
  <c r="G18" i="10" s="1"/>
  <c r="E26" i="20" s="1"/>
  <c r="H84" i="4" l="1"/>
  <c r="H94" i="4" s="1"/>
  <c r="H49" i="4"/>
  <c r="H33" i="17"/>
  <c r="H42" i="17"/>
  <c r="I20" i="11"/>
  <c r="I36" i="17"/>
  <c r="G13" i="10"/>
  <c r="I21" i="11" l="1"/>
  <c r="I25" i="11"/>
  <c r="H34" i="17"/>
  <c r="H59" i="4"/>
  <c r="H95" i="4"/>
  <c r="E5" i="20" l="1"/>
  <c r="H68" i="4"/>
  <c r="H60" i="4"/>
  <c r="G8" i="10"/>
  <c r="G6" i="10" s="1"/>
  <c r="G5" i="10" s="1"/>
  <c r="I16" i="5"/>
  <c r="I13" i="5" s="1"/>
  <c r="I26" i="11"/>
  <c r="E28" i="20" l="1"/>
  <c r="E6" i="20"/>
  <c r="I52" i="4"/>
  <c r="I30" i="17"/>
  <c r="I21" i="5"/>
  <c r="G25" i="10"/>
  <c r="G26" i="10" s="1"/>
  <c r="G23" i="10"/>
  <c r="J43" i="9" l="1"/>
  <c r="K14" i="9"/>
  <c r="I38" i="17"/>
  <c r="K15" i="9" l="1"/>
  <c r="K22" i="9" l="1"/>
  <c r="K21" i="9"/>
  <c r="K23" i="9"/>
  <c r="I20" i="4"/>
  <c r="I27" i="11"/>
  <c r="I30" i="11" l="1"/>
  <c r="I31" i="11" s="1"/>
  <c r="I32" i="11" s="1"/>
  <c r="I28" i="11"/>
  <c r="I29" i="11" s="1"/>
  <c r="I57" i="4"/>
  <c r="K25" i="9"/>
  <c r="I19" i="4"/>
  <c r="I12" i="4" l="1"/>
  <c r="F21" i="20"/>
  <c r="K26" i="9"/>
  <c r="K16" i="9"/>
  <c r="F22" i="20"/>
  <c r="F23" i="20" s="1"/>
  <c r="I15" i="17"/>
  <c r="I11" i="17" l="1"/>
  <c r="I5" i="17" s="1"/>
  <c r="K27" i="9"/>
  <c r="K29" i="9"/>
  <c r="I22" i="4"/>
  <c r="I40" i="17" l="1"/>
  <c r="I41" i="17" s="1"/>
  <c r="I31" i="17" s="1"/>
  <c r="H20" i="10"/>
  <c r="I25" i="4"/>
  <c r="I23" i="4"/>
  <c r="I39" i="17"/>
  <c r="I26" i="4" l="1"/>
  <c r="K32" i="9"/>
  <c r="I24" i="17"/>
  <c r="I22" i="17" s="1"/>
  <c r="F15" i="20"/>
  <c r="I85" i="4" l="1"/>
  <c r="K33" i="9"/>
  <c r="H21" i="10" s="1"/>
  <c r="H18" i="10" s="1"/>
  <c r="F26" i="20" s="1"/>
  <c r="I18" i="17"/>
  <c r="I17" i="17" s="1"/>
  <c r="J28" i="17"/>
  <c r="H16" i="10"/>
  <c r="H17" i="10" s="1"/>
  <c r="J18" i="11"/>
  <c r="J23" i="11" s="1"/>
  <c r="I51" i="4"/>
  <c r="I27" i="4"/>
  <c r="H13" i="10" l="1"/>
  <c r="J20" i="11"/>
  <c r="J36" i="17"/>
  <c r="I33" i="17"/>
  <c r="I42" i="17"/>
  <c r="I49" i="4"/>
  <c r="I59" i="4" s="1"/>
  <c r="I84" i="4"/>
  <c r="I94" i="4" s="1"/>
  <c r="I95" i="4" s="1"/>
  <c r="I68" i="4" l="1"/>
  <c r="F5" i="20"/>
  <c r="I60" i="4"/>
  <c r="I34" i="17"/>
  <c r="J21" i="11"/>
  <c r="J25" i="11"/>
  <c r="H8" i="10" l="1"/>
  <c r="H6" i="10" s="1"/>
  <c r="H5" i="10" s="1"/>
  <c r="F28" i="20"/>
  <c r="F6" i="20"/>
  <c r="J16" i="5"/>
  <c r="J13" i="5" s="1"/>
  <c r="J26" i="11"/>
  <c r="J30" i="17" l="1"/>
  <c r="J52" i="4"/>
  <c r="J21" i="5"/>
  <c r="L14" i="9" s="1"/>
  <c r="L15" i="9" s="1"/>
  <c r="H25" i="10"/>
  <c r="H26" i="10" s="1"/>
  <c r="H23" i="10"/>
  <c r="J20" i="4" l="1"/>
  <c r="L22" i="9"/>
  <c r="L24" i="9" s="1"/>
  <c r="L23" i="9"/>
  <c r="L21" i="9"/>
  <c r="J27" i="11"/>
  <c r="K43" i="9"/>
  <c r="J38" i="17"/>
  <c r="J19" i="4" l="1"/>
  <c r="G22" i="20"/>
  <c r="G23" i="20" s="1"/>
  <c r="J30" i="11"/>
  <c r="J31" i="11" s="1"/>
  <c r="J32" i="11" s="1"/>
  <c r="J28" i="11"/>
  <c r="J29" i="11" s="1"/>
  <c r="L25" i="9"/>
  <c r="J57" i="4"/>
  <c r="J15" i="17" s="1"/>
  <c r="J11" i="17" s="1"/>
  <c r="J5" i="17" s="1"/>
  <c r="J12" i="4" l="1"/>
  <c r="J39" i="17"/>
  <c r="L26" i="9"/>
  <c r="L16" i="9"/>
  <c r="G21" i="20"/>
  <c r="J22" i="4" l="1"/>
  <c r="L27" i="9"/>
  <c r="I20" i="10" s="1"/>
  <c r="L29" i="9"/>
  <c r="J25" i="4" l="1"/>
  <c r="J26" i="4" s="1"/>
  <c r="J23" i="4"/>
  <c r="J40" i="17"/>
  <c r="J41" i="17" s="1"/>
  <c r="J31" i="17" s="1"/>
  <c r="G15" i="20"/>
  <c r="J27" i="4" l="1"/>
  <c r="L32" i="9"/>
  <c r="J24" i="17"/>
  <c r="J22" i="17" s="1"/>
  <c r="J24" i="4"/>
  <c r="K18" i="11" l="1"/>
  <c r="K23" i="11" s="1"/>
  <c r="K28" i="17"/>
  <c r="J18" i="17"/>
  <c r="J17" i="17" s="1"/>
  <c r="I16" i="10"/>
  <c r="I17" i="10" s="1"/>
  <c r="J51" i="4"/>
  <c r="J49" i="4" s="1"/>
  <c r="J59" i="4" s="1"/>
  <c r="J85" i="4"/>
  <c r="J84" i="4" s="1"/>
  <c r="J94" i="4" s="1"/>
  <c r="J95" i="4" s="1"/>
  <c r="L33" i="9"/>
  <c r="I21" i="10" s="1"/>
  <c r="I18" i="10" s="1"/>
  <c r="G26" i="20" s="1"/>
  <c r="I13" i="10" l="1"/>
  <c r="K20" i="11"/>
  <c r="K36" i="17"/>
  <c r="G5" i="20"/>
  <c r="J68" i="4"/>
  <c r="J60" i="4"/>
  <c r="J33" i="17"/>
  <c r="J42" i="17"/>
  <c r="J34" i="17" l="1"/>
  <c r="G6" i="20"/>
  <c r="G28" i="20"/>
  <c r="K21" i="11"/>
  <c r="K25" i="11"/>
  <c r="I8" i="10" l="1"/>
  <c r="I6" i="10" s="1"/>
  <c r="I5" i="10" s="1"/>
  <c r="K16" i="5"/>
  <c r="K13" i="5" s="1"/>
  <c r="K26" i="11"/>
  <c r="K52" i="4" l="1"/>
  <c r="K30" i="17"/>
  <c r="K21" i="5"/>
  <c r="M14" i="9" s="1"/>
  <c r="M15" i="9" s="1"/>
  <c r="I25" i="10"/>
  <c r="I26" i="10" s="1"/>
  <c r="I23" i="10"/>
  <c r="L43" i="9" s="1"/>
  <c r="M22" i="9" l="1"/>
  <c r="M23" i="9"/>
  <c r="K20" i="4"/>
  <c r="M21" i="9"/>
  <c r="K27" i="11"/>
  <c r="K38" i="17"/>
  <c r="K19" i="4" l="1"/>
  <c r="K30" i="11"/>
  <c r="K31" i="11" s="1"/>
  <c r="K32" i="11" s="1"/>
  <c r="K28" i="11"/>
  <c r="K29" i="11" s="1"/>
  <c r="K57" i="4"/>
  <c r="K15" i="17" s="1"/>
  <c r="K11" i="17" s="1"/>
  <c r="K5" i="17" s="1"/>
  <c r="M25" i="9"/>
  <c r="M24" i="9"/>
  <c r="K12" i="4" l="1"/>
  <c r="K22" i="4" s="1"/>
  <c r="M16" i="9"/>
  <c r="M26" i="9"/>
  <c r="K39" i="17"/>
  <c r="H21" i="20"/>
  <c r="H22" i="20"/>
  <c r="H23" i="20" s="1"/>
  <c r="K25" i="4" l="1"/>
  <c r="K26" i="4" s="1"/>
  <c r="K23" i="4"/>
  <c r="M29" i="9"/>
  <c r="M27" i="9"/>
  <c r="J20" i="10" s="1"/>
  <c r="K40" i="17" l="1"/>
  <c r="K41" i="17" s="1"/>
  <c r="K31" i="17" s="1"/>
  <c r="K27" i="4"/>
  <c r="H15" i="20"/>
  <c r="K24" i="4"/>
  <c r="M32" i="9" l="1"/>
  <c r="K24" i="17"/>
  <c r="K22" i="17" s="1"/>
  <c r="L18" i="11" l="1"/>
  <c r="L23" i="11" s="1"/>
  <c r="J16" i="10"/>
  <c r="J17" i="10" s="1"/>
  <c r="K18" i="17"/>
  <c r="K17" i="17" s="1"/>
  <c r="L28" i="17"/>
  <c r="K51" i="4"/>
  <c r="K49" i="4" s="1"/>
  <c r="K59" i="4" s="1"/>
  <c r="K85" i="4"/>
  <c r="K84" i="4" s="1"/>
  <c r="K94" i="4" s="1"/>
  <c r="K95" i="4" s="1"/>
  <c r="M33" i="9"/>
  <c r="J21" i="10" s="1"/>
  <c r="J18" i="10" s="1"/>
  <c r="H26" i="20" s="1"/>
  <c r="H5" i="20" l="1"/>
  <c r="K68" i="4"/>
  <c r="K60" i="4"/>
  <c r="L20" i="11"/>
  <c r="L36" i="17"/>
  <c r="K33" i="17"/>
  <c r="K34" i="17" s="1"/>
  <c r="K42" i="17"/>
  <c r="J13" i="10"/>
  <c r="H6" i="20" l="1"/>
  <c r="H28" i="20"/>
  <c r="J8" i="10"/>
  <c r="J6" i="10" s="1"/>
  <c r="J5" i="10" s="1"/>
  <c r="L21" i="11"/>
  <c r="L25" i="11"/>
  <c r="L16" i="5" l="1"/>
  <c r="L13" i="5" s="1"/>
  <c r="L26" i="11"/>
  <c r="J25" i="10"/>
  <c r="J26" i="10" s="1"/>
  <c r="J23" i="10"/>
  <c r="M43" i="9" s="1"/>
  <c r="L27" i="11" l="1"/>
  <c r="L30" i="17"/>
  <c r="L52" i="4"/>
  <c r="L21" i="5"/>
  <c r="N14" i="9" s="1"/>
  <c r="N15" i="9" s="1"/>
  <c r="L30" i="11" l="1"/>
  <c r="L28" i="11"/>
  <c r="L29" i="11" s="1"/>
  <c r="N23" i="9"/>
  <c r="N22" i="9"/>
  <c r="L20" i="4"/>
  <c r="L38" i="17"/>
  <c r="L19" i="4" l="1"/>
  <c r="I22" i="20"/>
  <c r="I23" i="20" s="1"/>
  <c r="I21" i="20"/>
  <c r="N24" i="9"/>
  <c r="N21" i="9"/>
  <c r="N25" i="9" l="1"/>
  <c r="L57" i="4"/>
  <c r="L15" i="17" s="1"/>
  <c r="L11" i="17" s="1"/>
  <c r="L5" i="17" s="1"/>
  <c r="L31" i="11"/>
  <c r="L32" i="11" s="1"/>
  <c r="L12" i="4"/>
  <c r="L22" i="4" s="1"/>
  <c r="L25" i="4" l="1"/>
  <c r="L26" i="4" s="1"/>
  <c r="L23" i="4"/>
  <c r="L39" i="17"/>
  <c r="N16" i="9"/>
  <c r="N26" i="9"/>
  <c r="L27" i="4" l="1"/>
  <c r="N27" i="9"/>
  <c r="K20" i="10" s="1"/>
  <c r="L24" i="4"/>
  <c r="I15" i="20" l="1"/>
  <c r="N29" i="9"/>
  <c r="L40" i="17" l="1"/>
  <c r="L41" i="17" s="1"/>
  <c r="L31" i="17" s="1"/>
  <c r="N32" i="9" l="1"/>
  <c r="L24" i="17"/>
  <c r="L22" i="17" s="1"/>
  <c r="M18" i="11" l="1"/>
  <c r="M23" i="11" s="1"/>
  <c r="L18" i="17"/>
  <c r="L17" i="17" s="1"/>
  <c r="M28" i="17"/>
  <c r="K16" i="10"/>
  <c r="K17" i="10" s="1"/>
  <c r="L51" i="4"/>
  <c r="L49" i="4" s="1"/>
  <c r="L59" i="4" s="1"/>
  <c r="L85" i="4"/>
  <c r="L84" i="4" s="1"/>
  <c r="L94" i="4" s="1"/>
  <c r="L95" i="4" s="1"/>
  <c r="N33" i="9"/>
  <c r="K21" i="10" s="1"/>
  <c r="K18" i="10" s="1"/>
  <c r="I26" i="20" s="1"/>
  <c r="I5" i="20" l="1"/>
  <c r="L68" i="4"/>
  <c r="L60" i="4"/>
  <c r="K13" i="10"/>
  <c r="M20" i="11"/>
  <c r="M36" i="17"/>
  <c r="L33" i="17"/>
  <c r="L34" i="17" s="1"/>
  <c r="L42" i="17"/>
  <c r="K8" i="10" l="1"/>
  <c r="K6" i="10" s="1"/>
  <c r="K5" i="10" s="1"/>
  <c r="M21" i="11"/>
  <c r="M25" i="11"/>
  <c r="I6" i="20"/>
  <c r="I28" i="20"/>
  <c r="M16" i="5" l="1"/>
  <c r="M13" i="5" s="1"/>
  <c r="M26" i="11"/>
  <c r="K25" i="10"/>
  <c r="K26" i="10" s="1"/>
  <c r="K23" i="10"/>
  <c r="N43" i="9" s="1"/>
  <c r="M52" i="4" l="1"/>
  <c r="M30" i="17"/>
  <c r="M21" i="5"/>
  <c r="O14" i="9" s="1"/>
  <c r="O15" i="9" s="1"/>
  <c r="M27" i="11" s="1"/>
  <c r="M28" i="11" l="1"/>
  <c r="M29" i="11" s="1"/>
  <c r="M30" i="11"/>
  <c r="M38" i="17"/>
  <c r="M20" i="4"/>
  <c r="O22" i="9"/>
  <c r="O23" i="9"/>
  <c r="O24" i="9" l="1"/>
  <c r="M19" i="4"/>
  <c r="M12" i="4" s="1"/>
  <c r="M22" i="4" s="1"/>
  <c r="J22" i="20"/>
  <c r="J23" i="20" s="1"/>
  <c r="J21" i="20"/>
  <c r="O21" i="9"/>
  <c r="M31" i="11"/>
  <c r="M32" i="11" s="1"/>
  <c r="M57" i="4" l="1"/>
  <c r="M15" i="17" s="1"/>
  <c r="M11" i="17" s="1"/>
  <c r="M5" i="17" s="1"/>
  <c r="O25" i="9"/>
  <c r="M25" i="4"/>
  <c r="M26" i="4" s="1"/>
  <c r="M23" i="4"/>
  <c r="M39" i="17" l="1"/>
  <c r="M24" i="4"/>
  <c r="M27" i="4"/>
  <c r="O16" i="9"/>
  <c r="O26" i="9"/>
  <c r="O27" i="9" l="1"/>
  <c r="L20" i="10" s="1"/>
  <c r="O29" i="9"/>
  <c r="M40" i="17" l="1"/>
  <c r="M41" i="17" s="1"/>
  <c r="M31" i="17" s="1"/>
  <c r="J15" i="20"/>
  <c r="O32" i="9" l="1"/>
  <c r="M24" i="17"/>
  <c r="M22" i="17" s="1"/>
  <c r="M85" i="4" l="1"/>
  <c r="M84" i="4" s="1"/>
  <c r="M94" i="4" s="1"/>
  <c r="M95" i="4" s="1"/>
  <c r="O33" i="9"/>
  <c r="L21" i="10" s="1"/>
  <c r="L18" i="10" s="1"/>
  <c r="J26" i="20" s="1"/>
  <c r="L16" i="10"/>
  <c r="L17" i="10" s="1"/>
  <c r="M18" i="17"/>
  <c r="M17" i="17" s="1"/>
  <c r="N28" i="17"/>
  <c r="N18" i="11"/>
  <c r="N23" i="11" s="1"/>
  <c r="M51" i="4"/>
  <c r="M49" i="4" s="1"/>
  <c r="M59" i="4" s="1"/>
  <c r="J5" i="20" l="1"/>
  <c r="M68" i="4"/>
  <c r="M60" i="4"/>
  <c r="N20" i="11"/>
  <c r="N36" i="17"/>
  <c r="M42" i="17"/>
  <c r="M33" i="17"/>
  <c r="M34" i="17" s="1"/>
  <c r="L13" i="10"/>
  <c r="L8" i="10" l="1"/>
  <c r="L6" i="10" s="1"/>
  <c r="L5" i="10" s="1"/>
  <c r="N21" i="11"/>
  <c r="N25" i="11"/>
  <c r="J6" i="20"/>
  <c r="J28" i="20"/>
  <c r="N16" i="5" l="1"/>
  <c r="N13" i="5" s="1"/>
  <c r="N26" i="11"/>
  <c r="L25" i="10"/>
  <c r="L26" i="10" s="1"/>
  <c r="L23" i="10"/>
  <c r="O43" i="9" s="1"/>
  <c r="N52" i="4" l="1"/>
  <c r="N30" i="17"/>
  <c r="N21" i="5"/>
  <c r="P14" i="9" s="1"/>
  <c r="P15" i="9" s="1"/>
  <c r="N38" i="17" l="1"/>
  <c r="N20" i="4"/>
  <c r="P23" i="9"/>
  <c r="P22" i="9"/>
  <c r="N27" i="11"/>
  <c r="N28" i="11" l="1"/>
  <c r="N29" i="11" s="1"/>
  <c r="N30" i="11"/>
  <c r="P24" i="9"/>
  <c r="P21" i="9"/>
  <c r="N19" i="4"/>
  <c r="N12" i="4" s="1"/>
  <c r="N22" i="4" s="1"/>
  <c r="N25" i="4" l="1"/>
  <c r="N26" i="4" s="1"/>
  <c r="N23" i="4"/>
  <c r="N31" i="11"/>
  <c r="N32" i="11" s="1"/>
  <c r="K22" i="20"/>
  <c r="K23" i="20" s="1"/>
  <c r="K21" i="20"/>
  <c r="P25" i="9"/>
  <c r="N57" i="4"/>
  <c r="N15" i="17" s="1"/>
  <c r="N11" i="17" s="1"/>
  <c r="N5" i="17" s="1"/>
  <c r="N39" i="17" l="1"/>
  <c r="P16" i="9"/>
  <c r="P26" i="9"/>
  <c r="N24" i="4"/>
  <c r="N27" i="4"/>
  <c r="P27" i="9" l="1"/>
  <c r="M20" i="10" s="1"/>
  <c r="K15" i="20" l="1"/>
  <c r="P29" i="9"/>
  <c r="N40" i="17" l="1"/>
  <c r="N41" i="17" s="1"/>
  <c r="N31" i="17" s="1"/>
  <c r="P32" i="9" l="1"/>
  <c r="N24" i="17"/>
  <c r="N22" i="17" s="1"/>
  <c r="O28" i="17" l="1"/>
  <c r="N18" i="17"/>
  <c r="N17" i="17" s="1"/>
  <c r="M16" i="10"/>
  <c r="M17" i="10" s="1"/>
  <c r="O18" i="11"/>
  <c r="O23" i="11" s="1"/>
  <c r="N51" i="4"/>
  <c r="N49" i="4" s="1"/>
  <c r="N59" i="4" s="1"/>
  <c r="N85" i="4"/>
  <c r="N84" i="4" s="1"/>
  <c r="N94" i="4" s="1"/>
  <c r="N95" i="4" s="1"/>
  <c r="P33" i="9"/>
  <c r="M21" i="10" s="1"/>
  <c r="M18" i="10" s="1"/>
  <c r="K26" i="20" s="1"/>
  <c r="N68" i="4" l="1"/>
  <c r="K5" i="20"/>
  <c r="N60" i="4"/>
  <c r="M13" i="10"/>
  <c r="N33" i="17"/>
  <c r="N34" i="17" s="1"/>
  <c r="N42" i="17"/>
  <c r="O20" i="11"/>
  <c r="O36" i="17"/>
  <c r="K6" i="20" l="1"/>
  <c r="K28" i="20"/>
  <c r="O21" i="11"/>
  <c r="O25" i="11"/>
  <c r="M8" i="10"/>
  <c r="M6" i="10" s="1"/>
  <c r="M5" i="10" s="1"/>
  <c r="M25" i="10" l="1"/>
  <c r="M26" i="10" s="1"/>
  <c r="M23" i="10"/>
  <c r="P43" i="9" s="1"/>
  <c r="O16" i="5"/>
  <c r="O13" i="5" s="1"/>
  <c r="O26" i="11"/>
  <c r="O52" i="4" l="1"/>
  <c r="O30" i="17"/>
  <c r="O21" i="5"/>
  <c r="Q14" i="9" s="1"/>
  <c r="Q15" i="9" s="1"/>
  <c r="Q23" i="9" l="1"/>
  <c r="Q22" i="9"/>
  <c r="Q21" i="9" s="1"/>
  <c r="O20" i="4"/>
  <c r="O27" i="11"/>
  <c r="O38" i="17"/>
  <c r="O57" i="4" l="1"/>
  <c r="O15" i="17" s="1"/>
  <c r="O11" i="17" s="1"/>
  <c r="O5" i="17" s="1"/>
  <c r="Q25" i="9"/>
  <c r="Q16" i="9" s="1"/>
  <c r="O30" i="11"/>
  <c r="O31" i="11" s="1"/>
  <c r="O32" i="11" s="1"/>
  <c r="O28" i="11"/>
  <c r="O29" i="11" s="1"/>
  <c r="O19" i="4"/>
  <c r="O12" i="4" s="1"/>
  <c r="O22" i="4" s="1"/>
  <c r="L21" i="20"/>
  <c r="Q24" i="9"/>
  <c r="O39" i="17" l="1"/>
  <c r="Q26" i="9"/>
  <c r="O25" i="4"/>
  <c r="O26" i="4" s="1"/>
  <c r="O23" i="4"/>
  <c r="L22" i="20"/>
  <c r="L23" i="20" s="1"/>
  <c r="Q27" i="9"/>
  <c r="N20" i="10" s="1"/>
  <c r="Q29" i="9" l="1"/>
  <c r="O24" i="4"/>
  <c r="O27" i="4"/>
  <c r="L15" i="20"/>
  <c r="O40" i="17" l="1"/>
  <c r="O41" i="17" s="1"/>
  <c r="O31" i="17" s="1"/>
  <c r="Q32" i="9" l="1"/>
  <c r="O24" i="17"/>
  <c r="O22" i="17" s="1"/>
  <c r="N16" i="10" l="1"/>
  <c r="N17" i="10" s="1"/>
  <c r="O18" i="17"/>
  <c r="O17" i="17" s="1"/>
  <c r="P28" i="17"/>
  <c r="P18" i="11"/>
  <c r="P23" i="11" s="1"/>
  <c r="O51" i="4"/>
  <c r="O49" i="4" s="1"/>
  <c r="O59" i="4" s="1"/>
  <c r="O85" i="4"/>
  <c r="O84" i="4" s="1"/>
  <c r="O94" i="4" s="1"/>
  <c r="O95" i="4" s="1"/>
  <c r="Q33" i="9"/>
  <c r="N21" i="10" s="1"/>
  <c r="N18" i="10" s="1"/>
  <c r="L26" i="20" s="1"/>
  <c r="L5" i="20" l="1"/>
  <c r="O68" i="4"/>
  <c r="O60" i="4"/>
  <c r="P20" i="11"/>
  <c r="P36" i="17"/>
  <c r="O33" i="17"/>
  <c r="O34" i="17" s="1"/>
  <c r="O42" i="17"/>
  <c r="N13" i="10"/>
  <c r="N8" i="10" l="1"/>
  <c r="N6" i="10" s="1"/>
  <c r="N5" i="10" s="1"/>
  <c r="P21" i="11"/>
  <c r="P25" i="11"/>
  <c r="L6" i="20"/>
  <c r="L28" i="20"/>
  <c r="N25" i="10" l="1"/>
  <c r="N26" i="10" s="1"/>
  <c r="N23" i="10"/>
  <c r="Q43" i="9" s="1"/>
  <c r="P16" i="5"/>
  <c r="P13" i="5" s="1"/>
  <c r="P26" i="11"/>
  <c r="P52" i="4" l="1"/>
  <c r="P30" i="17"/>
  <c r="P21" i="5"/>
  <c r="R14" i="9" s="1"/>
  <c r="R15" i="9" s="1"/>
  <c r="P20" i="4" l="1"/>
  <c r="R23" i="9"/>
  <c r="R22" i="9"/>
  <c r="R21" i="9"/>
  <c r="P27" i="11"/>
  <c r="P38" i="17"/>
  <c r="M22" i="20" l="1"/>
  <c r="M23" i="20" s="1"/>
  <c r="P19" i="4"/>
  <c r="P12" i="4" s="1"/>
  <c r="P22" i="4" s="1"/>
  <c r="M21" i="20"/>
  <c r="P28" i="11"/>
  <c r="P29" i="11" s="1"/>
  <c r="P30" i="11"/>
  <c r="P31" i="11" s="1"/>
  <c r="P32" i="11" s="1"/>
  <c r="P57" i="4"/>
  <c r="P15" i="17" s="1"/>
  <c r="P11" i="17" s="1"/>
  <c r="P5" i="17" s="1"/>
  <c r="R25" i="9"/>
  <c r="R24" i="9"/>
  <c r="R26" i="9"/>
  <c r="R16" i="9" l="1"/>
  <c r="P39" i="17"/>
  <c r="P25" i="4"/>
  <c r="P26" i="4" s="1"/>
  <c r="P23" i="4"/>
  <c r="P24" i="4" l="1"/>
  <c r="P27" i="4"/>
  <c r="R27" i="9"/>
  <c r="O20" i="10" s="1"/>
  <c r="R29" i="9" l="1"/>
  <c r="M15" i="20"/>
  <c r="P40" i="17" l="1"/>
  <c r="P41" i="17" s="1"/>
  <c r="P31" i="17" s="1"/>
  <c r="R32" i="9" l="1"/>
  <c r="P24" i="17"/>
  <c r="P22" i="17" s="1"/>
  <c r="P85" i="4" l="1"/>
  <c r="P84" i="4" s="1"/>
  <c r="P94" i="4" s="1"/>
  <c r="P95" i="4" s="1"/>
  <c r="R33" i="9"/>
  <c r="O21" i="10" s="1"/>
  <c r="O18" i="10" s="1"/>
  <c r="M26" i="20" s="1"/>
  <c r="P18" i="17"/>
  <c r="P17" i="17" s="1"/>
  <c r="Q18" i="11"/>
  <c r="Q23" i="11" s="1"/>
  <c r="Q28" i="17"/>
  <c r="O16" i="10"/>
  <c r="O17" i="10" s="1"/>
  <c r="P51" i="4"/>
  <c r="P49" i="4" s="1"/>
  <c r="P59" i="4" s="1"/>
  <c r="P68" i="4" l="1"/>
  <c r="M5" i="20"/>
  <c r="P60" i="4"/>
  <c r="O13" i="10"/>
  <c r="Q20" i="11"/>
  <c r="Q36" i="17"/>
  <c r="P33" i="17"/>
  <c r="P34" i="17" s="1"/>
  <c r="P42" i="17"/>
  <c r="O8" i="10" l="1"/>
  <c r="O6" i="10" s="1"/>
  <c r="O5" i="10" s="1"/>
  <c r="Q21" i="11"/>
  <c r="Q25" i="11"/>
  <c r="M28" i="20"/>
  <c r="M6" i="20"/>
  <c r="Q16" i="5" l="1"/>
  <c r="Q13" i="5" s="1"/>
  <c r="Q26" i="11"/>
  <c r="O25" i="10"/>
  <c r="O26" i="10" s="1"/>
  <c r="O23" i="10"/>
  <c r="R43" i="9" s="1"/>
  <c r="Q30" i="17" l="1"/>
  <c r="Q52" i="4"/>
  <c r="Q21" i="5"/>
  <c r="S14" i="9" s="1"/>
  <c r="S15" i="9" s="1"/>
  <c r="Q20" i="4" l="1"/>
  <c r="S22" i="9"/>
  <c r="S21" i="9" s="1"/>
  <c r="S23" i="9"/>
  <c r="Q27" i="11"/>
  <c r="Q38" i="17"/>
  <c r="S25" i="9" l="1"/>
  <c r="Q57" i="4"/>
  <c r="Q15" i="17" s="1"/>
  <c r="Q11" i="17" s="1"/>
  <c r="Q5" i="17" s="1"/>
  <c r="Q30" i="11"/>
  <c r="Q31" i="11" s="1"/>
  <c r="Q32" i="11" s="1"/>
  <c r="Q28" i="11"/>
  <c r="Q29" i="11" s="1"/>
  <c r="Q19" i="4"/>
  <c r="Q12" i="4" s="1"/>
  <c r="Q22" i="4" s="1"/>
  <c r="N21" i="20"/>
  <c r="S24" i="9"/>
  <c r="Q25" i="4" l="1"/>
  <c r="Q26" i="4" s="1"/>
  <c r="Q23" i="4"/>
  <c r="N22" i="20"/>
  <c r="N23" i="20" s="1"/>
  <c r="Q39" i="17"/>
  <c r="S16" i="9"/>
  <c r="S26" i="9"/>
  <c r="Q27" i="4" l="1"/>
  <c r="S27" i="9"/>
  <c r="P20" i="10" s="1"/>
  <c r="Q24" i="4"/>
  <c r="N15" i="20" l="1"/>
  <c r="S29" i="9"/>
  <c r="Q40" i="17" l="1"/>
  <c r="Q41" i="17" s="1"/>
  <c r="Q31" i="17" s="1"/>
  <c r="S32" i="9" l="1"/>
  <c r="Q24" i="17"/>
  <c r="Q22" i="17" s="1"/>
  <c r="Q18" i="17" l="1"/>
  <c r="Q17" i="17" s="1"/>
  <c r="P16" i="10"/>
  <c r="P17" i="10" s="1"/>
  <c r="R18" i="11"/>
  <c r="R23" i="11" s="1"/>
  <c r="R28" i="17"/>
  <c r="Q51" i="4"/>
  <c r="Q49" i="4" s="1"/>
  <c r="Q59" i="4" s="1"/>
  <c r="Q85" i="4"/>
  <c r="Q84" i="4" s="1"/>
  <c r="Q94" i="4" s="1"/>
  <c r="Q95" i="4" s="1"/>
  <c r="S33" i="9"/>
  <c r="P21" i="10" s="1"/>
  <c r="P18" i="10" s="1"/>
  <c r="N26" i="20" s="1"/>
  <c r="N5" i="20" l="1"/>
  <c r="Q68" i="4"/>
  <c r="Q60" i="4"/>
  <c r="R20" i="11"/>
  <c r="R36" i="17"/>
  <c r="P13" i="10"/>
  <c r="Q33" i="17"/>
  <c r="Q34" i="17" s="1"/>
  <c r="Q42" i="17"/>
  <c r="P8" i="10" l="1"/>
  <c r="P6" i="10" s="1"/>
  <c r="P5" i="10" s="1"/>
  <c r="R21" i="11"/>
  <c r="R25" i="11"/>
  <c r="N28" i="20"/>
  <c r="N6" i="20"/>
  <c r="R16" i="5" l="1"/>
  <c r="R13" i="5" s="1"/>
  <c r="R26" i="11"/>
  <c r="P25" i="10"/>
  <c r="P26" i="10" s="1"/>
  <c r="P23" i="10"/>
  <c r="S43" i="9" s="1"/>
  <c r="R52" i="4" l="1"/>
  <c r="R30" i="17"/>
  <c r="R21" i="5"/>
  <c r="T14" i="9" s="1"/>
  <c r="T15" i="9" s="1"/>
  <c r="T22" i="9" l="1"/>
  <c r="T21" i="9"/>
  <c r="T23" i="9"/>
  <c r="R20" i="4"/>
  <c r="R38" i="17"/>
  <c r="R27" i="11"/>
  <c r="R28" i="11" l="1"/>
  <c r="R29" i="11" s="1"/>
  <c r="R30" i="11"/>
  <c r="R31" i="11" s="1"/>
  <c r="R32" i="11" s="1"/>
  <c r="R19" i="4"/>
  <c r="R12" i="4" s="1"/>
  <c r="R22" i="4" s="1"/>
  <c r="R57" i="4"/>
  <c r="R15" i="17" s="1"/>
  <c r="R11" i="17" s="1"/>
  <c r="R5" i="17" s="1"/>
  <c r="T25" i="9"/>
  <c r="T24" i="9"/>
  <c r="R39" i="17" l="1"/>
  <c r="R25" i="4"/>
  <c r="R26" i="4" s="1"/>
  <c r="R23" i="4"/>
  <c r="O22" i="20"/>
  <c r="O23" i="20" s="1"/>
  <c r="T16" i="9"/>
  <c r="T26" i="9"/>
  <c r="O21" i="20"/>
  <c r="T27" i="9" l="1"/>
  <c r="Q20" i="10" s="1"/>
  <c r="R24" i="4"/>
  <c r="R27" i="4"/>
  <c r="T29" i="9" l="1"/>
  <c r="O15" i="20"/>
  <c r="R40" i="17" l="1"/>
  <c r="R41" i="17" s="1"/>
  <c r="R31" i="17" s="1"/>
  <c r="T32" i="9" l="1"/>
  <c r="R24" i="17"/>
  <c r="R22" i="17" s="1"/>
  <c r="Q16" i="10" l="1"/>
  <c r="Q17" i="10" s="1"/>
  <c r="S28" i="17"/>
  <c r="R18" i="17"/>
  <c r="R17" i="17" s="1"/>
  <c r="S18" i="11"/>
  <c r="S23" i="11" s="1"/>
  <c r="R51" i="4"/>
  <c r="R49" i="4" s="1"/>
  <c r="R59" i="4" s="1"/>
  <c r="R85" i="4"/>
  <c r="R84" i="4" s="1"/>
  <c r="R94" i="4" s="1"/>
  <c r="R95" i="4" s="1"/>
  <c r="T33" i="9"/>
  <c r="Q21" i="10" s="1"/>
  <c r="Q18" i="10" s="1"/>
  <c r="O26" i="20" s="1"/>
  <c r="R68" i="4" l="1"/>
  <c r="O5" i="20"/>
  <c r="R60" i="4"/>
  <c r="R33" i="17"/>
  <c r="R34" i="17" s="1"/>
  <c r="R42" i="17"/>
  <c r="S20" i="11"/>
  <c r="S36" i="17"/>
  <c r="Q13" i="10"/>
  <c r="S21" i="11" l="1"/>
  <c r="S25" i="11"/>
  <c r="O28" i="20"/>
  <c r="O6" i="20"/>
  <c r="Q8" i="10"/>
  <c r="Q6" i="10" s="1"/>
  <c r="Q5" i="10" s="1"/>
  <c r="Q25" i="10" l="1"/>
  <c r="Q26" i="10" s="1"/>
  <c r="Q23" i="10"/>
  <c r="T43" i="9" s="1"/>
  <c r="S16" i="5"/>
  <c r="S13" i="5" s="1"/>
  <c r="S26" i="11"/>
  <c r="S30" i="17" l="1"/>
  <c r="S27" i="11"/>
  <c r="S52" i="4"/>
  <c r="S21" i="5"/>
  <c r="U14" i="9" s="1"/>
  <c r="U15" i="9" s="1"/>
  <c r="S28" i="11" l="1"/>
  <c r="S29" i="11" s="1"/>
  <c r="S30" i="11"/>
  <c r="S31" i="11" s="1"/>
  <c r="S32" i="11" s="1"/>
  <c r="AD32" i="11" s="1"/>
  <c r="H44" i="12" s="1"/>
  <c r="S38" i="17"/>
  <c r="U23" i="9"/>
  <c r="U22" i="9"/>
  <c r="S20" i="4"/>
  <c r="U21" i="9"/>
  <c r="U25" i="9" l="1"/>
  <c r="S57" i="4"/>
  <c r="S15" i="17" s="1"/>
  <c r="S11" i="17" s="1"/>
  <c r="S5" i="17" s="1"/>
  <c r="S19" i="4"/>
  <c r="S12" i="4" s="1"/>
  <c r="S22" i="4" s="1"/>
  <c r="P22" i="20"/>
  <c r="P23" i="20" s="1"/>
  <c r="P21" i="20"/>
  <c r="U24" i="9"/>
  <c r="U26" i="9"/>
  <c r="S25" i="4" l="1"/>
  <c r="S26" i="4" s="1"/>
  <c r="S23" i="4"/>
  <c r="S39" i="17"/>
  <c r="U16" i="9"/>
  <c r="U27" i="9" l="1"/>
  <c r="R20" i="10" s="1"/>
  <c r="S27" i="4"/>
  <c r="S24" i="4"/>
  <c r="P15" i="20" l="1"/>
  <c r="U29" i="9"/>
  <c r="S40" i="17" l="1"/>
  <c r="S41" i="17" s="1"/>
  <c r="S31" i="17" s="1"/>
  <c r="U32" i="9" l="1"/>
  <c r="S24" i="17"/>
  <c r="S22" i="17" s="1"/>
  <c r="T28" i="17" l="1"/>
  <c r="T18" i="11"/>
  <c r="T23" i="11" s="1"/>
  <c r="S18" i="17"/>
  <c r="S17" i="17" s="1"/>
  <c r="R16" i="10"/>
  <c r="R17" i="10" s="1"/>
  <c r="S51" i="4"/>
  <c r="S49" i="4" s="1"/>
  <c r="S59" i="4" s="1"/>
  <c r="S85" i="4"/>
  <c r="S84" i="4" s="1"/>
  <c r="S94" i="4" s="1"/>
  <c r="S95" i="4" s="1"/>
  <c r="U33" i="9"/>
  <c r="R21" i="10" s="1"/>
  <c r="R18" i="10" s="1"/>
  <c r="P26" i="20" s="1"/>
  <c r="R13" i="10" l="1"/>
  <c r="S68" i="4"/>
  <c r="P5" i="20"/>
  <c r="S60" i="4"/>
  <c r="S42" i="17"/>
  <c r="S33" i="17"/>
  <c r="S34" i="17" s="1"/>
  <c r="T20" i="11"/>
  <c r="T36" i="17"/>
  <c r="P6" i="20" l="1"/>
  <c r="P28" i="20"/>
  <c r="T25" i="11"/>
  <c r="T21" i="11"/>
  <c r="R8" i="10"/>
  <c r="R6" i="10" s="1"/>
  <c r="R5" i="10" s="1"/>
  <c r="R25" i="10" l="1"/>
  <c r="R26" i="10" s="1"/>
  <c r="R23" i="10"/>
  <c r="U43" i="9" s="1"/>
  <c r="T16" i="5"/>
  <c r="T13" i="5" s="1"/>
  <c r="T26" i="11"/>
  <c r="T30" i="17" l="1"/>
  <c r="T52" i="4"/>
  <c r="T21" i="5"/>
  <c r="V14" i="9" s="1"/>
  <c r="V15" i="9" s="1"/>
  <c r="V23" i="9" l="1"/>
  <c r="V22" i="9"/>
  <c r="T20" i="4"/>
  <c r="V21" i="9"/>
  <c r="T38" i="17"/>
  <c r="T27" i="11"/>
  <c r="V24" i="9" l="1"/>
  <c r="T28" i="11"/>
  <c r="T29" i="11" s="1"/>
  <c r="T30" i="11"/>
  <c r="T31" i="11" s="1"/>
  <c r="T57" i="4"/>
  <c r="T15" i="17" s="1"/>
  <c r="T11" i="17" s="1"/>
  <c r="T5" i="17" s="1"/>
  <c r="V25" i="9"/>
  <c r="V16" i="9" s="1"/>
  <c r="T19" i="4"/>
  <c r="T12" i="4" s="1"/>
  <c r="T22" i="4" s="1"/>
  <c r="Q22" i="20"/>
  <c r="Q23" i="20" s="1"/>
  <c r="V26" i="9"/>
  <c r="Q21" i="20" l="1"/>
  <c r="T39" i="17"/>
  <c r="T25" i="4"/>
  <c r="T26" i="4" s="1"/>
  <c r="T23" i="4"/>
  <c r="V27" i="9"/>
  <c r="S20" i="10" s="1"/>
  <c r="T24" i="4" l="1"/>
  <c r="T27" i="4"/>
  <c r="V29" i="9"/>
  <c r="Q15" i="20"/>
  <c r="T40" i="17" l="1"/>
  <c r="T41" i="17" s="1"/>
  <c r="T31" i="17" s="1"/>
  <c r="V32" i="9" l="1"/>
  <c r="T24" i="17"/>
  <c r="T22" i="17" s="1"/>
  <c r="T85" i="4" l="1"/>
  <c r="T84" i="4" s="1"/>
  <c r="T94" i="4" s="1"/>
  <c r="T95" i="4" s="1"/>
  <c r="V33" i="9"/>
  <c r="S21" i="10" s="1"/>
  <c r="S18" i="10" s="1"/>
  <c r="Q26" i="20" s="1"/>
  <c r="U28" i="17"/>
  <c r="S16" i="10"/>
  <c r="S17" i="10" s="1"/>
  <c r="T51" i="4"/>
  <c r="T49" i="4" s="1"/>
  <c r="T59" i="4" s="1"/>
  <c r="U18" i="11"/>
  <c r="U23" i="11" s="1"/>
  <c r="T18" i="17"/>
  <c r="T17" i="17" s="1"/>
  <c r="Q5" i="20" l="1"/>
  <c r="T68" i="4"/>
  <c r="T60" i="4"/>
  <c r="U20" i="11"/>
  <c r="U36" i="17"/>
  <c r="T33" i="17"/>
  <c r="T34" i="17" s="1"/>
  <c r="T42" i="17"/>
  <c r="S13" i="10"/>
  <c r="U21" i="11" l="1"/>
  <c r="U25" i="11"/>
  <c r="S8" i="10"/>
  <c r="S6" i="10" s="1"/>
  <c r="S5" i="10" s="1"/>
  <c r="Q6" i="20"/>
  <c r="Q28" i="20"/>
  <c r="S25" i="10" l="1"/>
  <c r="S26" i="10" s="1"/>
  <c r="S23" i="10"/>
  <c r="V43" i="9" s="1"/>
  <c r="U16" i="5"/>
  <c r="U13" i="5" s="1"/>
  <c r="U26" i="11"/>
  <c r="U52" i="4" l="1"/>
  <c r="U30" i="17"/>
  <c r="U21" i="5"/>
  <c r="W14" i="9" s="1"/>
  <c r="W15" i="9" s="1"/>
  <c r="U27" i="11" s="1"/>
  <c r="U28" i="11" l="1"/>
  <c r="U29" i="11" s="1"/>
  <c r="U30" i="11"/>
  <c r="W23" i="9"/>
  <c r="U20" i="4"/>
  <c r="W22" i="9"/>
  <c r="W21" i="9"/>
  <c r="U38" i="17"/>
  <c r="U57" i="4" l="1"/>
  <c r="U15" i="17" s="1"/>
  <c r="U11" i="17" s="1"/>
  <c r="U5" i="17" s="1"/>
  <c r="W25" i="9"/>
  <c r="W24" i="9"/>
  <c r="U31" i="11"/>
  <c r="U19" i="4"/>
  <c r="U12" i="4" s="1"/>
  <c r="U22" i="4" s="1"/>
  <c r="U25" i="4" l="1"/>
  <c r="U26" i="4" s="1"/>
  <c r="U23" i="4"/>
  <c r="R22" i="20"/>
  <c r="R23" i="20" s="1"/>
  <c r="R21" i="20"/>
  <c r="W16" i="9"/>
  <c r="W26" i="9"/>
  <c r="U39" i="17"/>
  <c r="W27" i="9" l="1"/>
  <c r="T20" i="10" s="1"/>
  <c r="U24" i="4"/>
  <c r="U27" i="4"/>
  <c r="W29" i="9" l="1"/>
  <c r="R15" i="20"/>
  <c r="U40" i="17" l="1"/>
  <c r="U41" i="17" s="1"/>
  <c r="U31" i="17" s="1"/>
  <c r="W32" i="9" l="1"/>
  <c r="U24" i="17"/>
  <c r="U22" i="17" s="1"/>
  <c r="V28" i="17" l="1"/>
  <c r="U18" i="17"/>
  <c r="U17" i="17" s="1"/>
  <c r="T16" i="10"/>
  <c r="T17" i="10" s="1"/>
  <c r="U51" i="4"/>
  <c r="U49" i="4" s="1"/>
  <c r="U59" i="4" s="1"/>
  <c r="U85" i="4"/>
  <c r="U84" i="4" s="1"/>
  <c r="U94" i="4" s="1"/>
  <c r="U95" i="4" s="1"/>
  <c r="W33" i="9"/>
  <c r="T21" i="10" s="1"/>
  <c r="T18" i="10" s="1"/>
  <c r="R26" i="20" s="1"/>
  <c r="U68" i="4" l="1"/>
  <c r="R5" i="20"/>
  <c r="U60" i="4"/>
  <c r="T13" i="10"/>
  <c r="U33" i="17"/>
  <c r="U34" i="17" s="1"/>
  <c r="U42" i="17"/>
  <c r="V20" i="11"/>
  <c r="V36" i="17"/>
  <c r="V25" i="11" l="1"/>
  <c r="V21" i="11"/>
  <c r="T8" i="10"/>
  <c r="T6" i="10" s="1"/>
  <c r="T5" i="10" s="1"/>
  <c r="R6" i="20"/>
  <c r="R28" i="20"/>
  <c r="T25" i="10" l="1"/>
  <c r="T26" i="10" s="1"/>
  <c r="T23" i="10"/>
  <c r="W43" i="9" s="1"/>
  <c r="V16" i="5"/>
  <c r="V13" i="5" s="1"/>
  <c r="V26" i="11"/>
  <c r="V30" i="17" l="1"/>
  <c r="V52" i="4"/>
  <c r="V21" i="5"/>
  <c r="X14" i="9" s="1"/>
  <c r="X15" i="9" s="1"/>
  <c r="X21" i="9" l="1"/>
  <c r="X23" i="9"/>
  <c r="V20" i="4"/>
  <c r="X22" i="9"/>
  <c r="V27" i="11"/>
  <c r="V38" i="17"/>
  <c r="X25" i="9" l="1"/>
  <c r="V57" i="4"/>
  <c r="V15" i="17" s="1"/>
  <c r="V11" i="17" s="1"/>
  <c r="V5" i="17" s="1"/>
  <c r="V30" i="11"/>
  <c r="V31" i="11" s="1"/>
  <c r="V28" i="11"/>
  <c r="V29" i="11" s="1"/>
  <c r="X24" i="9"/>
  <c r="V19" i="4"/>
  <c r="V12" i="4" s="1"/>
  <c r="V22" i="4" s="1"/>
  <c r="S21" i="20"/>
  <c r="S22" i="20"/>
  <c r="S23" i="20" s="1"/>
  <c r="X16" i="9" l="1"/>
  <c r="X26" i="9"/>
  <c r="V25" i="4"/>
  <c r="V26" i="4" s="1"/>
  <c r="V23" i="4"/>
  <c r="V39" i="17"/>
  <c r="V27" i="4" l="1"/>
  <c r="V24" i="4"/>
  <c r="X27" i="9"/>
  <c r="U20" i="10" s="1"/>
  <c r="X29" i="9"/>
  <c r="V40" i="17" l="1"/>
  <c r="V41" i="17" s="1"/>
  <c r="V31" i="17" s="1"/>
  <c r="S15" i="20"/>
  <c r="X32" i="9" l="1"/>
  <c r="V24" i="17"/>
  <c r="V22" i="17" s="1"/>
  <c r="V18" i="11" l="1"/>
  <c r="V23" i="11" s="1"/>
  <c r="W28" i="17"/>
  <c r="V18" i="17"/>
  <c r="V17" i="17" s="1"/>
  <c r="U16" i="10"/>
  <c r="U17" i="10" s="1"/>
  <c r="V51" i="4"/>
  <c r="V49" i="4" s="1"/>
  <c r="V59" i="4" s="1"/>
  <c r="V85" i="4"/>
  <c r="V84" i="4" s="1"/>
  <c r="V94" i="4" s="1"/>
  <c r="V95" i="4" s="1"/>
  <c r="X33" i="9"/>
  <c r="U21" i="10" s="1"/>
  <c r="U18" i="10" s="1"/>
  <c r="S26" i="20" s="1"/>
  <c r="S5" i="20" l="1"/>
  <c r="V68" i="4"/>
  <c r="V60" i="4"/>
  <c r="U13" i="10"/>
  <c r="V42" i="17"/>
  <c r="V33" i="17"/>
  <c r="V34" i="17" s="1"/>
  <c r="W20" i="11"/>
  <c r="W36" i="17"/>
  <c r="U8" i="10" l="1"/>
  <c r="U6" i="10" s="1"/>
  <c r="U5" i="10" s="1"/>
  <c r="W25" i="11"/>
  <c r="W21" i="11"/>
  <c r="S28" i="20"/>
  <c r="S6" i="20"/>
  <c r="W16" i="5" l="1"/>
  <c r="W13" i="5" s="1"/>
  <c r="W26" i="11"/>
  <c r="U25" i="10"/>
  <c r="U26" i="10" s="1"/>
  <c r="U23" i="10"/>
  <c r="X43" i="9" s="1"/>
  <c r="W27" i="11" l="1"/>
  <c r="W52" i="4"/>
  <c r="W30" i="17"/>
  <c r="W21" i="5"/>
  <c r="Y14" i="9" s="1"/>
  <c r="Y15" i="9" s="1"/>
  <c r="Y22" i="9" l="1"/>
  <c r="Y23" i="9"/>
  <c r="W20" i="4"/>
  <c r="W28" i="11"/>
  <c r="W29" i="11" s="1"/>
  <c r="W30" i="11"/>
  <c r="W38" i="17"/>
  <c r="Y24" i="9" l="1"/>
  <c r="Y21" i="9"/>
  <c r="W31" i="11" s="1"/>
  <c r="T21" i="20"/>
  <c r="W19" i="4"/>
  <c r="W12" i="4" s="1"/>
  <c r="W22" i="4" s="1"/>
  <c r="T22" i="20" l="1"/>
  <c r="T23" i="20" s="1"/>
  <c r="W25" i="4"/>
  <c r="W26" i="4" s="1"/>
  <c r="W23" i="4"/>
  <c r="W57" i="4"/>
  <c r="W15" i="17" s="1"/>
  <c r="W11" i="17" s="1"/>
  <c r="W5" i="17" s="1"/>
  <c r="Y25" i="9"/>
  <c r="Y16" i="9" l="1"/>
  <c r="Y26" i="9"/>
  <c r="W39" i="17"/>
  <c r="W24" i="4"/>
  <c r="W27" i="4"/>
  <c r="Y27" i="9" l="1"/>
  <c r="V20" i="10" s="1"/>
  <c r="T15" i="20" l="1"/>
  <c r="Y29" i="9"/>
  <c r="W40" i="17" l="1"/>
  <c r="W41" i="17" s="1"/>
  <c r="W31" i="17" s="1"/>
  <c r="Y32" i="9" l="1"/>
  <c r="W24" i="17"/>
  <c r="W22" i="17" s="1"/>
  <c r="X28" i="17" l="1"/>
  <c r="W18" i="17"/>
  <c r="W17" i="17" s="1"/>
  <c r="W18" i="11"/>
  <c r="W23" i="11" s="1"/>
  <c r="V16" i="10"/>
  <c r="V17" i="10" s="1"/>
  <c r="W51" i="4"/>
  <c r="W49" i="4" s="1"/>
  <c r="W59" i="4" s="1"/>
  <c r="W85" i="4"/>
  <c r="W84" i="4" s="1"/>
  <c r="W94" i="4" s="1"/>
  <c r="W95" i="4" s="1"/>
  <c r="Y33" i="9"/>
  <c r="V21" i="10" s="1"/>
  <c r="V18" i="10" s="1"/>
  <c r="T26" i="20" s="1"/>
  <c r="T5" i="20" l="1"/>
  <c r="W68" i="4"/>
  <c r="W60" i="4"/>
  <c r="V13" i="10"/>
  <c r="W33" i="17"/>
  <c r="W34" i="17" s="1"/>
  <c r="W42" i="17"/>
  <c r="X20" i="11"/>
  <c r="X36" i="17"/>
  <c r="X25" i="11" l="1"/>
  <c r="X21" i="11"/>
  <c r="V8" i="10"/>
  <c r="V6" i="10" s="1"/>
  <c r="V5" i="10" s="1"/>
  <c r="T6" i="20"/>
  <c r="T28" i="20"/>
  <c r="V25" i="10" l="1"/>
  <c r="V26" i="10" s="1"/>
  <c r="V23" i="10"/>
  <c r="Y43" i="9" s="1"/>
  <c r="X16" i="5"/>
  <c r="X13" i="5" s="1"/>
  <c r="X26" i="11"/>
  <c r="X30" i="17" l="1"/>
  <c r="X27" i="11"/>
  <c r="X52" i="4"/>
  <c r="X21" i="5"/>
  <c r="Z14" i="9" s="1"/>
  <c r="Z15" i="9" s="1"/>
  <c r="X28" i="11" l="1"/>
  <c r="X29" i="11" s="1"/>
  <c r="AD29" i="11" s="1"/>
  <c r="H43" i="12" s="1"/>
  <c r="X30" i="11"/>
  <c r="X38" i="17"/>
  <c r="Z22" i="9"/>
  <c r="X20" i="4"/>
  <c r="Z21" i="9"/>
  <c r="Z23" i="9"/>
  <c r="X57" i="4" l="1"/>
  <c r="X15" i="17" s="1"/>
  <c r="X11" i="17" s="1"/>
  <c r="X5" i="17" s="1"/>
  <c r="Z25" i="9"/>
  <c r="X19" i="4"/>
  <c r="X12" i="4" s="1"/>
  <c r="X22" i="4" s="1"/>
  <c r="U22" i="20"/>
  <c r="U23" i="20" s="1"/>
  <c r="U21" i="20"/>
  <c r="Z24" i="9"/>
  <c r="X31" i="11"/>
  <c r="X25" i="4" l="1"/>
  <c r="I33" i="4"/>
  <c r="X23" i="4"/>
  <c r="U24" i="20"/>
  <c r="B24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R24" i="20"/>
  <c r="T24" i="20"/>
  <c r="P24" i="20"/>
  <c r="S24" i="20"/>
  <c r="Q24" i="20"/>
  <c r="Z26" i="9"/>
  <c r="Z16" i="9"/>
  <c r="X39" i="17"/>
  <c r="Z27" i="9" l="1"/>
  <c r="W20" i="10" s="1"/>
  <c r="X24" i="4"/>
  <c r="L33" i="4"/>
  <c r="D64" i="12" s="1"/>
  <c r="X26" i="4"/>
  <c r="X27" i="4" l="1"/>
  <c r="Z29" i="9"/>
  <c r="U15" i="20"/>
  <c r="X40" i="17" l="1"/>
  <c r="X41" i="17" s="1"/>
  <c r="X31" i="17" s="1"/>
  <c r="Z32" i="9" l="1"/>
  <c r="X24" i="17"/>
  <c r="X22" i="17" s="1"/>
  <c r="Y28" i="17" l="1"/>
  <c r="W16" i="10"/>
  <c r="W17" i="10" s="1"/>
  <c r="X18" i="11"/>
  <c r="X18" i="17"/>
  <c r="X17" i="17" s="1"/>
  <c r="X85" i="4"/>
  <c r="X84" i="4" s="1"/>
  <c r="X94" i="4" s="1"/>
  <c r="X95" i="4" s="1"/>
  <c r="Z33" i="9"/>
  <c r="W21" i="10" s="1"/>
  <c r="W18" i="10" s="1"/>
  <c r="U26" i="20" s="1"/>
  <c r="X42" i="17" l="1"/>
  <c r="X33" i="17"/>
  <c r="X34" i="17" s="1"/>
  <c r="X51" i="4"/>
  <c r="X49" i="4" s="1"/>
  <c r="X59" i="4" s="1"/>
  <c r="X23" i="11"/>
  <c r="W13" i="10"/>
  <c r="Y20" i="11"/>
  <c r="Y36" i="17"/>
  <c r="U5" i="20" l="1"/>
  <c r="X68" i="4"/>
  <c r="X60" i="4"/>
  <c r="Y25" i="11"/>
  <c r="Y21" i="11"/>
  <c r="W8" i="10"/>
  <c r="W6" i="10" s="1"/>
  <c r="W5" i="10" s="1"/>
  <c r="W25" i="10" l="1"/>
  <c r="W26" i="10" s="1"/>
  <c r="W23" i="10"/>
  <c r="Z43" i="9" s="1"/>
  <c r="Y16" i="5"/>
  <c r="Y13" i="5" s="1"/>
  <c r="Y26" i="11"/>
  <c r="U6" i="20"/>
  <c r="U28" i="20"/>
  <c r="Y30" i="17" l="1"/>
  <c r="Y52" i="4"/>
  <c r="Y21" i="5"/>
  <c r="AA14" i="9" s="1"/>
  <c r="AA15" i="9" s="1"/>
  <c r="Y20" i="4" l="1"/>
  <c r="Y19" i="4" s="1"/>
  <c r="Y12" i="4" s="1"/>
  <c r="Y22" i="4" s="1"/>
  <c r="AA23" i="9"/>
  <c r="AA22" i="9"/>
  <c r="AA21" i="9" s="1"/>
  <c r="Y27" i="11"/>
  <c r="Y38" i="17"/>
  <c r="Y57" i="4" l="1"/>
  <c r="Y15" i="17" s="1"/>
  <c r="Y11" i="17" s="1"/>
  <c r="Y5" i="17" s="1"/>
  <c r="AA25" i="9"/>
  <c r="Y28" i="11"/>
  <c r="Y30" i="11"/>
  <c r="Y31" i="11" s="1"/>
  <c r="AA24" i="9"/>
  <c r="Y25" i="4"/>
  <c r="Y26" i="4" s="1"/>
  <c r="Y23" i="4"/>
  <c r="Y27" i="4" l="1"/>
  <c r="Y24" i="4"/>
  <c r="AA26" i="9"/>
  <c r="AA16" i="9"/>
  <c r="Y39" i="17"/>
  <c r="AA27" i="9" l="1"/>
  <c r="X20" i="10" s="1"/>
  <c r="V15" i="20" l="1"/>
  <c r="AA29" i="9"/>
  <c r="Y40" i="17" l="1"/>
  <c r="Y41" i="17" s="1"/>
  <c r="Y31" i="17" s="1"/>
  <c r="AA32" i="9" l="1"/>
  <c r="Y24" i="17"/>
  <c r="Y22" i="17" s="1"/>
  <c r="Y18" i="11" l="1"/>
  <c r="Z28" i="17"/>
  <c r="Y18" i="17"/>
  <c r="Y17" i="17" s="1"/>
  <c r="X16" i="10"/>
  <c r="X17" i="10" s="1"/>
  <c r="Y85" i="4"/>
  <c r="Y84" i="4" s="1"/>
  <c r="Y94" i="4" s="1"/>
  <c r="Y95" i="4" s="1"/>
  <c r="AA33" i="9"/>
  <c r="X21" i="10" s="1"/>
  <c r="X18" i="10" s="1"/>
  <c r="V26" i="20" s="1"/>
  <c r="X13" i="10" l="1"/>
  <c r="Y33" i="17"/>
  <c r="Y34" i="17" s="1"/>
  <c r="Y42" i="17"/>
  <c r="Z20" i="11"/>
  <c r="Z36" i="17"/>
  <c r="Y51" i="4"/>
  <c r="Y49" i="4" s="1"/>
  <c r="Y59" i="4" s="1"/>
  <c r="Y23" i="11"/>
  <c r="V5" i="20" l="1"/>
  <c r="Y68" i="4"/>
  <c r="H64" i="4"/>
  <c r="D65" i="12" s="1"/>
  <c r="Y60" i="4"/>
  <c r="Z25" i="11"/>
  <c r="Z21" i="11"/>
  <c r="X8" i="10"/>
  <c r="X6" i="10" s="1"/>
  <c r="X5" i="10" s="1"/>
  <c r="Z16" i="5" l="1"/>
  <c r="Z13" i="5" s="1"/>
  <c r="Z26" i="11"/>
  <c r="X25" i="10"/>
  <c r="X26" i="10" s="1"/>
  <c r="X23" i="10"/>
  <c r="AA43" i="9" s="1"/>
  <c r="V6" i="20"/>
  <c r="V28" i="20"/>
  <c r="Z30" i="17" l="1"/>
  <c r="Z52" i="4"/>
  <c r="Z21" i="5"/>
  <c r="AB14" i="9" s="1"/>
  <c r="AB15" i="9" s="1"/>
  <c r="Z27" i="11" s="1"/>
  <c r="Z28" i="11" l="1"/>
  <c r="Z30" i="11"/>
  <c r="Z31" i="11" s="1"/>
  <c r="Z38" i="17"/>
  <c r="Z20" i="4"/>
  <c r="Z19" i="4" s="1"/>
  <c r="Z12" i="4" s="1"/>
  <c r="Z22" i="4" s="1"/>
  <c r="AB23" i="9"/>
  <c r="AB22" i="9"/>
  <c r="AB21" i="9"/>
  <c r="Z57" i="4" l="1"/>
  <c r="Z15" i="17" s="1"/>
  <c r="Z11" i="17" s="1"/>
  <c r="Z5" i="17" s="1"/>
  <c r="AB25" i="9"/>
  <c r="AB24" i="9"/>
  <c r="Z25" i="4"/>
  <c r="Z26" i="4" s="1"/>
  <c r="Z23" i="4"/>
  <c r="AB26" i="9"/>
  <c r="Z27" i="4" l="1"/>
  <c r="Z24" i="4"/>
  <c r="AB16" i="9"/>
  <c r="Z39" i="17"/>
  <c r="AB27" i="9" l="1"/>
  <c r="Y20" i="10" s="1"/>
  <c r="W15" i="20" l="1"/>
  <c r="AB29" i="9"/>
  <c r="Z40" i="17" l="1"/>
  <c r="Z41" i="17" s="1"/>
  <c r="Z31" i="17" s="1"/>
  <c r="AB32" i="9" l="1"/>
  <c r="Z24" i="17"/>
  <c r="Z22" i="17" s="1"/>
  <c r="Z18" i="11" l="1"/>
  <c r="Z18" i="17"/>
  <c r="Z17" i="17" s="1"/>
  <c r="AA28" i="17"/>
  <c r="Y16" i="10"/>
  <c r="Y17" i="10" s="1"/>
  <c r="Z85" i="4"/>
  <c r="Z84" i="4" s="1"/>
  <c r="Z94" i="4" s="1"/>
  <c r="Z95" i="4" s="1"/>
  <c r="AB33" i="9"/>
  <c r="Y21" i="10" s="1"/>
  <c r="Y18" i="10" s="1"/>
  <c r="W26" i="20" s="1"/>
  <c r="Y13" i="10" l="1"/>
  <c r="AA20" i="11"/>
  <c r="AA36" i="17"/>
  <c r="Z51" i="4"/>
  <c r="Z49" i="4" s="1"/>
  <c r="Z59" i="4" s="1"/>
  <c r="Z23" i="11"/>
  <c r="Z42" i="17"/>
  <c r="Z33" i="17"/>
  <c r="Z34" i="17" s="1"/>
  <c r="W5" i="20" l="1"/>
  <c r="Z68" i="4"/>
  <c r="Z60" i="4"/>
  <c r="Y8" i="10"/>
  <c r="Y6" i="10" s="1"/>
  <c r="Y5" i="10" s="1"/>
  <c r="AA21" i="11"/>
  <c r="AA25" i="11"/>
  <c r="AA16" i="5" l="1"/>
  <c r="AA13" i="5" s="1"/>
  <c r="AA26" i="11"/>
  <c r="Y25" i="10"/>
  <c r="Y26" i="10" s="1"/>
  <c r="Y23" i="10"/>
  <c r="AB43" i="9" s="1"/>
  <c r="W6" i="20"/>
  <c r="W28" i="20"/>
  <c r="AA52" i="4" l="1"/>
  <c r="AA30" i="17"/>
  <c r="AA21" i="5"/>
  <c r="AC14" i="9" s="1"/>
  <c r="AC15" i="9" s="1"/>
  <c r="AC23" i="9" l="1"/>
  <c r="AA20" i="4"/>
  <c r="AA19" i="4" s="1"/>
  <c r="AA12" i="4" s="1"/>
  <c r="AA22" i="4" s="1"/>
  <c r="AC22" i="9"/>
  <c r="AA27" i="11"/>
  <c r="AA38" i="17"/>
  <c r="AA25" i="4" l="1"/>
  <c r="AA26" i="4" s="1"/>
  <c r="AA23" i="4"/>
  <c r="AA30" i="11"/>
  <c r="AA28" i="11"/>
  <c r="AC24" i="9"/>
  <c r="AC21" i="9"/>
  <c r="AC25" i="9" l="1"/>
  <c r="AA57" i="4"/>
  <c r="AA15" i="17" s="1"/>
  <c r="AA11" i="17" s="1"/>
  <c r="AA5" i="17" s="1"/>
  <c r="AA31" i="11"/>
  <c r="AA24" i="4"/>
  <c r="AA27" i="4"/>
  <c r="AA39" i="17" l="1"/>
  <c r="AC16" i="9"/>
  <c r="AC26" i="9"/>
  <c r="AC27" i="9" l="1"/>
  <c r="Z20" i="10" s="1"/>
  <c r="X15" i="20" l="1"/>
  <c r="AC29" i="9"/>
  <c r="AA40" i="17" l="1"/>
  <c r="AA41" i="17" s="1"/>
  <c r="AA31" i="17" s="1"/>
  <c r="AC32" i="9" l="1"/>
  <c r="AA24" i="17"/>
  <c r="AA22" i="17" s="1"/>
  <c r="AA85" i="4" l="1"/>
  <c r="AA84" i="4" s="1"/>
  <c r="AA94" i="4" s="1"/>
  <c r="AA95" i="4" s="1"/>
  <c r="AC33" i="9"/>
  <c r="Z21" i="10" s="1"/>
  <c r="Z18" i="10" s="1"/>
  <c r="X26" i="20" s="1"/>
  <c r="AA18" i="11"/>
  <c r="Z16" i="10"/>
  <c r="Z17" i="10" s="1"/>
  <c r="AA18" i="17"/>
  <c r="AA17" i="17" s="1"/>
  <c r="AB28" i="17"/>
  <c r="Z13" i="10" l="1"/>
  <c r="AB20" i="11"/>
  <c r="AB36" i="17"/>
  <c r="AA33" i="17"/>
  <c r="AA34" i="17" s="1"/>
  <c r="AA42" i="17"/>
  <c r="AA51" i="4"/>
  <c r="AA49" i="4" s="1"/>
  <c r="AA59" i="4" s="1"/>
  <c r="AA23" i="11"/>
  <c r="X5" i="20" l="1"/>
  <c r="AA68" i="4"/>
  <c r="AA60" i="4"/>
  <c r="Z8" i="10"/>
  <c r="Z6" i="10" s="1"/>
  <c r="Z5" i="10" s="1"/>
  <c r="AB25" i="11"/>
  <c r="AB21" i="11"/>
  <c r="AB16" i="5" l="1"/>
  <c r="AB13" i="5" s="1"/>
  <c r="AB26" i="11"/>
  <c r="Z25" i="10"/>
  <c r="Z26" i="10" s="1"/>
  <c r="Z23" i="10"/>
  <c r="AC43" i="9" s="1"/>
  <c r="X6" i="20"/>
  <c r="X28" i="20"/>
  <c r="AB52" i="4" l="1"/>
  <c r="AB30" i="17"/>
  <c r="AB21" i="5"/>
  <c r="AD14" i="9" s="1"/>
  <c r="AD15" i="9" s="1"/>
  <c r="AB27" i="11" s="1"/>
  <c r="AB28" i="11" l="1"/>
  <c r="AB30" i="11"/>
  <c r="AB38" i="17"/>
  <c r="AD22" i="9"/>
  <c r="AD24" i="9" s="1"/>
  <c r="AD23" i="9"/>
  <c r="AB20" i="4"/>
  <c r="AB19" i="4" s="1"/>
  <c r="AB12" i="4" s="1"/>
  <c r="AB22" i="4" s="1"/>
  <c r="AD21" i="9"/>
  <c r="AB25" i="4" l="1"/>
  <c r="AB26" i="4" s="1"/>
  <c r="AB23" i="4"/>
  <c r="AB31" i="11"/>
  <c r="AB57" i="4"/>
  <c r="AB15" i="17" s="1"/>
  <c r="AB11" i="17" s="1"/>
  <c r="AB5" i="17" s="1"/>
  <c r="AD25" i="9"/>
  <c r="AB39" i="17" l="1"/>
  <c r="AD16" i="9"/>
  <c r="AD26" i="9"/>
  <c r="AB24" i="4"/>
  <c r="AB27" i="4"/>
  <c r="AD27" i="9" l="1"/>
  <c r="AA20" i="10" s="1"/>
  <c r="AD29" i="9"/>
  <c r="AB40" i="17" l="1"/>
  <c r="AB41" i="17" s="1"/>
  <c r="AB31" i="17" s="1"/>
  <c r="Y15" i="20"/>
  <c r="AD32" i="9" l="1"/>
  <c r="AB24" i="17"/>
  <c r="AB22" i="17" s="1"/>
  <c r="AB18" i="17" l="1"/>
  <c r="AB17" i="17" s="1"/>
  <c r="AC28" i="17"/>
  <c r="AB18" i="11"/>
  <c r="AA16" i="10"/>
  <c r="AA17" i="10" s="1"/>
  <c r="AB85" i="4"/>
  <c r="AB84" i="4" s="1"/>
  <c r="AB94" i="4" s="1"/>
  <c r="AB95" i="4" s="1"/>
  <c r="AD33" i="9"/>
  <c r="AA21" i="10" s="1"/>
  <c r="AA18" i="10" s="1"/>
  <c r="Y26" i="20" s="1"/>
  <c r="AA13" i="10" l="1"/>
  <c r="AC20" i="11"/>
  <c r="AC36" i="17"/>
  <c r="AB51" i="4"/>
  <c r="AB49" i="4" s="1"/>
  <c r="AB59" i="4" s="1"/>
  <c r="AB23" i="11"/>
  <c r="AB33" i="17"/>
  <c r="AB34" i="17" s="1"/>
  <c r="AB42" i="17"/>
  <c r="AB68" i="4" l="1"/>
  <c r="Y5" i="20"/>
  <c r="AB60" i="4"/>
  <c r="AC25" i="11"/>
  <c r="AC21" i="11"/>
  <c r="AA8" i="10"/>
  <c r="AA6" i="10" s="1"/>
  <c r="AA5" i="10" s="1"/>
  <c r="AA25" i="10" l="1"/>
  <c r="AA26" i="10" s="1"/>
  <c r="AA23" i="10"/>
  <c r="AD43" i="9" s="1"/>
  <c r="AC16" i="5"/>
  <c r="AC26" i="11"/>
  <c r="Y6" i="20"/>
  <c r="Y28" i="20"/>
  <c r="AD16" i="5" l="1"/>
  <c r="AC13" i="5"/>
  <c r="AC30" i="17" l="1"/>
  <c r="AC52" i="4"/>
  <c r="AD52" i="4" s="1"/>
  <c r="AC21" i="5"/>
  <c r="AD13" i="5"/>
  <c r="D54" i="12" s="1"/>
  <c r="AD30" i="17" l="1"/>
  <c r="AC38" i="17"/>
  <c r="AE14" i="9"/>
  <c r="AD21" i="5"/>
  <c r="D31" i="12" s="1"/>
  <c r="AE15" i="9" l="1"/>
  <c r="AF14" i="9"/>
  <c r="AC20" i="4" l="1"/>
  <c r="AE23" i="9"/>
  <c r="AE22" i="9"/>
  <c r="AE24" i="9" s="1"/>
  <c r="AF15" i="9"/>
  <c r="AC27" i="11"/>
  <c r="AC28" i="11" l="1"/>
  <c r="AC30" i="11"/>
  <c r="D53" i="12"/>
  <c r="D55" i="12" s="1"/>
  <c r="D60" i="12" s="1"/>
  <c r="D33" i="12"/>
  <c r="H34" i="12" s="1"/>
  <c r="AC19" i="4"/>
  <c r="AD20" i="4"/>
  <c r="H45" i="12" s="1"/>
  <c r="AE21" i="9"/>
  <c r="AE25" i="9" l="1"/>
  <c r="AC57" i="4"/>
  <c r="AF21" i="9"/>
  <c r="AC12" i="4"/>
  <c r="AD19" i="4"/>
  <c r="AC31" i="11"/>
  <c r="H51" i="12" l="1"/>
  <c r="H52" i="12" s="1"/>
  <c r="H35" i="12"/>
  <c r="AC15" i="17"/>
  <c r="AD57" i="4"/>
  <c r="AE57" i="4" s="1"/>
  <c r="AE16" i="9"/>
  <c r="AE26" i="9"/>
  <c r="AC22" i="4"/>
  <c r="AD12" i="4"/>
  <c r="AC25" i="4" l="1"/>
  <c r="I30" i="4"/>
  <c r="H30" i="12" s="1"/>
  <c r="I29" i="4"/>
  <c r="H26" i="12" s="1"/>
  <c r="AD22" i="4"/>
  <c r="AC23" i="4"/>
  <c r="AC24" i="4" s="1"/>
  <c r="AD24" i="4" s="1"/>
  <c r="I31" i="4" s="1"/>
  <c r="H22" i="12" s="1"/>
  <c r="AE27" i="9"/>
  <c r="AE29" i="9"/>
  <c r="AF16" i="9"/>
  <c r="H39" i="12" s="1"/>
  <c r="AC11" i="17"/>
  <c r="AC5" i="17" s="1"/>
  <c r="AD15" i="17"/>
  <c r="AD11" i="17" s="1"/>
  <c r="AF26" i="9"/>
  <c r="H36" i="12" s="1"/>
  <c r="AC39" i="17" l="1"/>
  <c r="AC40" i="17"/>
  <c r="AC41" i="17" s="1"/>
  <c r="AC31" i="17" s="1"/>
  <c r="AF29" i="9"/>
  <c r="AB20" i="10"/>
  <c r="AF27" i="9"/>
  <c r="L30" i="4"/>
  <c r="H24" i="12" s="1"/>
  <c r="L29" i="4"/>
  <c r="AC26" i="4"/>
  <c r="AC27" i="4" s="1"/>
  <c r="AD27" i="4" s="1"/>
  <c r="L31" i="4" s="1"/>
  <c r="H23" i="12" l="1"/>
  <c r="H9" i="12"/>
  <c r="Z15" i="20"/>
  <c r="AE32" i="9"/>
  <c r="AD31" i="17"/>
  <c r="AC24" i="17"/>
  <c r="AD24" i="17" l="1"/>
  <c r="AD17" i="17" s="1"/>
  <c r="AC22" i="17"/>
  <c r="AC85" i="4"/>
  <c r="AE33" i="9"/>
  <c r="AB21" i="10" s="1"/>
  <c r="AB18" i="10" s="1"/>
  <c r="Z26" i="20" s="1"/>
  <c r="AD85" i="4" l="1"/>
  <c r="AC18" i="17"/>
  <c r="AC17" i="17" s="1"/>
  <c r="AB16" i="10"/>
  <c r="AB17" i="10" s="1"/>
  <c r="AC18" i="11"/>
  <c r="C22" i="17"/>
  <c r="H40" i="12" s="1"/>
  <c r="H14" i="12" s="1"/>
  <c r="AC51" i="4" l="1"/>
  <c r="AC23" i="11"/>
  <c r="AC42" i="17"/>
  <c r="AC33" i="17"/>
  <c r="AB13" i="10"/>
  <c r="AD33" i="17" l="1"/>
  <c r="AC34" i="17"/>
  <c r="AC49" i="4"/>
  <c r="AD51" i="4"/>
  <c r="AC59" i="4" l="1"/>
  <c r="AD49" i="4"/>
  <c r="AC88" i="4"/>
  <c r="AC86" i="4" s="1"/>
  <c r="AC84" i="4" s="1"/>
  <c r="AC94" i="4" s="1"/>
  <c r="AB8" i="10"/>
  <c r="AB6" i="10" s="1"/>
  <c r="AB5" i="10" s="1"/>
  <c r="AD34" i="17"/>
  <c r="AB25" i="10" l="1"/>
  <c r="AB26" i="10" s="1"/>
  <c r="AB23" i="10"/>
  <c r="AC95" i="4"/>
  <c r="H98" i="4"/>
  <c r="H32" i="12" s="1"/>
  <c r="H97" i="4"/>
  <c r="H28" i="12" s="1"/>
  <c r="Z5" i="20"/>
  <c r="AC68" i="4"/>
  <c r="D69" i="4" s="1"/>
  <c r="H11" i="12" s="1"/>
  <c r="AD59" i="4"/>
  <c r="H62" i="4"/>
  <c r="H31" i="12" s="1"/>
  <c r="H61" i="4"/>
  <c r="AC60" i="4"/>
  <c r="H10" i="12" l="1"/>
  <c r="H27" i="12"/>
  <c r="Z6" i="20"/>
  <c r="Z28" i="20"/>
  <c r="D28" i="10"/>
  <c r="H38" i="12" s="1"/>
  <c r="H13" i="12" s="1"/>
  <c r="AE43" i="9"/>
  <c r="Z7" i="20" l="1"/>
  <c r="B7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Y7" i="20"/>
  <c r="V7" i="20"/>
  <c r="U7" i="20"/>
  <c r="X7" i="20"/>
  <c r="W7" i="20"/>
  <c r="P12" i="20" l="1"/>
  <c r="P16" i="20"/>
  <c r="P8" i="20"/>
  <c r="M16" i="20"/>
  <c r="M8" i="20"/>
  <c r="M12" i="20"/>
  <c r="J16" i="20"/>
  <c r="J12" i="20"/>
  <c r="J8" i="20"/>
  <c r="X8" i="20"/>
  <c r="X12" i="20"/>
  <c r="X16" i="20"/>
  <c r="X10" i="20" s="1"/>
  <c r="G8" i="20"/>
  <c r="G16" i="20"/>
  <c r="G12" i="20"/>
  <c r="Y12" i="20"/>
  <c r="Y8" i="20"/>
  <c r="Y16" i="20"/>
  <c r="Y10" i="20" s="1"/>
  <c r="T8" i="20"/>
  <c r="T16" i="20"/>
  <c r="T12" i="20"/>
  <c r="D8" i="20"/>
  <c r="D12" i="20"/>
  <c r="D16" i="20"/>
  <c r="S12" i="20"/>
  <c r="S16" i="20"/>
  <c r="S8" i="20"/>
  <c r="C8" i="20"/>
  <c r="C16" i="20"/>
  <c r="C12" i="20"/>
  <c r="N12" i="20"/>
  <c r="N8" i="20"/>
  <c r="N16" i="20"/>
  <c r="L12" i="20"/>
  <c r="L8" i="20"/>
  <c r="L16" i="20"/>
  <c r="I12" i="20"/>
  <c r="I16" i="20"/>
  <c r="I8" i="20"/>
  <c r="U16" i="20"/>
  <c r="U8" i="20"/>
  <c r="U12" i="20"/>
  <c r="F16" i="20"/>
  <c r="F12" i="20"/>
  <c r="F8" i="20"/>
  <c r="R16" i="20"/>
  <c r="R12" i="20"/>
  <c r="R8" i="20"/>
  <c r="B12" i="20"/>
  <c r="B16" i="20"/>
  <c r="B8" i="20"/>
  <c r="O8" i="20"/>
  <c r="O12" i="20"/>
  <c r="O16" i="20"/>
  <c r="K12" i="20"/>
  <c r="K8" i="20"/>
  <c r="K16" i="20"/>
  <c r="W12" i="20"/>
  <c r="W8" i="20"/>
  <c r="W16" i="20"/>
  <c r="W10" i="20" s="1"/>
  <c r="H12" i="20"/>
  <c r="H8" i="20"/>
  <c r="H16" i="20"/>
  <c r="V8" i="20"/>
  <c r="V16" i="20"/>
  <c r="V10" i="20" s="1"/>
  <c r="V12" i="20"/>
  <c r="E12" i="20"/>
  <c r="E8" i="20"/>
  <c r="E16" i="20"/>
  <c r="Q12" i="20"/>
  <c r="Q8" i="20"/>
  <c r="Q16" i="20"/>
  <c r="Z8" i="20"/>
  <c r="Z12" i="20"/>
  <c r="Z16" i="20"/>
  <c r="Z10" i="20" s="1"/>
  <c r="N9" i="20" l="1"/>
  <c r="N11" i="20" s="1"/>
  <c r="N27" i="20" s="1"/>
  <c r="R17" i="20"/>
  <c r="R10" i="20"/>
  <c r="G10" i="20"/>
  <c r="G17" i="20"/>
  <c r="F9" i="20"/>
  <c r="F11" i="20" s="1"/>
  <c r="F27" i="20" s="1"/>
  <c r="G9" i="20"/>
  <c r="G11" i="20"/>
  <c r="G27" i="20" s="1"/>
  <c r="F10" i="20"/>
  <c r="F17" i="20"/>
  <c r="S10" i="20"/>
  <c r="S17" i="20"/>
  <c r="Z9" i="20"/>
  <c r="Z11" i="20" s="1"/>
  <c r="Z27" i="20" s="1"/>
  <c r="U9" i="20"/>
  <c r="U11" i="20" s="1"/>
  <c r="U27" i="20" s="1"/>
  <c r="J9" i="20"/>
  <c r="J11" i="20" s="1"/>
  <c r="J27" i="20" s="1"/>
  <c r="K9" i="20"/>
  <c r="K11" i="20" s="1"/>
  <c r="K27" i="20" s="1"/>
  <c r="D17" i="20"/>
  <c r="D10" i="20"/>
  <c r="Q9" i="20"/>
  <c r="Q11" i="20"/>
  <c r="Q27" i="20" s="1"/>
  <c r="I9" i="20"/>
  <c r="I10" i="20"/>
  <c r="I11" i="20" s="1"/>
  <c r="I27" i="20" s="1"/>
  <c r="I17" i="20"/>
  <c r="D9" i="20"/>
  <c r="D11" i="20" s="1"/>
  <c r="D27" i="20" s="1"/>
  <c r="E10" i="20"/>
  <c r="E17" i="20"/>
  <c r="M9" i="20"/>
  <c r="L17" i="20"/>
  <c r="L10" i="20"/>
  <c r="L9" i="20"/>
  <c r="L11" i="20"/>
  <c r="L27" i="20" s="1"/>
  <c r="T9" i="20"/>
  <c r="T11" i="20" s="1"/>
  <c r="T27" i="20" s="1"/>
  <c r="B17" i="20"/>
  <c r="B10" i="20"/>
  <c r="B11" i="20" s="1"/>
  <c r="P17" i="20"/>
  <c r="P10" i="20"/>
  <c r="P11" i="20" s="1"/>
  <c r="P27" i="20" s="1"/>
  <c r="V9" i="20"/>
  <c r="V11" i="20"/>
  <c r="V27" i="20" s="1"/>
  <c r="R9" i="20"/>
  <c r="R11" i="20" s="1"/>
  <c r="R27" i="20" s="1"/>
  <c r="H17" i="20"/>
  <c r="H10" i="20"/>
  <c r="H9" i="20"/>
  <c r="H11" i="20"/>
  <c r="H27" i="20" s="1"/>
  <c r="C10" i="20"/>
  <c r="C17" i="20"/>
  <c r="C9" i="20"/>
  <c r="C11" i="20" s="1"/>
  <c r="C27" i="20" s="1"/>
  <c r="W9" i="20"/>
  <c r="W11" i="20"/>
  <c r="W27" i="20" s="1"/>
  <c r="S9" i="20"/>
  <c r="S11" i="20" s="1"/>
  <c r="S27" i="20" s="1"/>
  <c r="X9" i="20"/>
  <c r="X11" i="20" s="1"/>
  <c r="X27" i="20" s="1"/>
  <c r="K17" i="20"/>
  <c r="K10" i="20"/>
  <c r="Q10" i="20"/>
  <c r="Q17" i="20"/>
  <c r="U17" i="20"/>
  <c r="U10" i="20"/>
  <c r="J17" i="20"/>
  <c r="J10" i="20"/>
  <c r="O17" i="20"/>
  <c r="O10" i="20"/>
  <c r="E9" i="20"/>
  <c r="E11" i="20" s="1"/>
  <c r="E27" i="20" s="1"/>
  <c r="O9" i="20"/>
  <c r="O11" i="20"/>
  <c r="O27" i="20" s="1"/>
  <c r="T10" i="20"/>
  <c r="T17" i="20"/>
  <c r="M17" i="20"/>
  <c r="M10" i="20"/>
  <c r="M11" i="20" s="1"/>
  <c r="M27" i="20" s="1"/>
  <c r="B9" i="20"/>
  <c r="P9" i="20"/>
  <c r="N17" i="20"/>
  <c r="N10" i="20"/>
  <c r="Y9" i="20"/>
  <c r="Y11" i="20" s="1"/>
  <c r="Y27" i="20" s="1"/>
  <c r="B27" i="20" l="1"/>
  <c r="D44" i="12"/>
  <c r="D4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肖燕华</author>
  </authors>
  <commentList>
    <comment ref="B29" authorId="0" shapeId="0" xr:uid="{F39104DE-06E1-4AA7-8DA5-3A5D99A98609}">
      <text>
        <r>
          <rPr>
            <sz val="9"/>
            <rFont val="宋体"/>
            <charset val="134"/>
          </rPr>
          <t>质保金3亿元，无需计算利息</t>
        </r>
      </text>
    </comment>
  </commentList>
</comments>
</file>

<file path=xl/sharedStrings.xml><?xml version="1.0" encoding="utf-8"?>
<sst xmlns="http://schemas.openxmlformats.org/spreadsheetml/2006/main" count="797" uniqueCount="559">
  <si>
    <t>序号</t>
  </si>
  <si>
    <t>%</t>
  </si>
  <si>
    <t>资本金</t>
  </si>
  <si>
    <t>总投资</t>
  </si>
  <si>
    <t>建设期利息</t>
  </si>
  <si>
    <t>流动资金</t>
  </si>
  <si>
    <t>经营成本</t>
  </si>
  <si>
    <t>项目</t>
  </si>
  <si>
    <t>修理费</t>
  </si>
  <si>
    <t>投资计划与资金筹措表</t>
  </si>
  <si>
    <t>年限</t>
  </si>
  <si>
    <t>合计</t>
  </si>
  <si>
    <t>累计</t>
  </si>
  <si>
    <t>静态投资完成比例</t>
  </si>
  <si>
    <t>资本金使用比例</t>
  </si>
  <si>
    <t>建设投资</t>
  </si>
  <si>
    <t>动态投资</t>
  </si>
  <si>
    <t>资金筹措</t>
  </si>
  <si>
    <t>自有资金</t>
  </si>
  <si>
    <t>2.1.1</t>
  </si>
  <si>
    <t>用于建设投资</t>
  </si>
  <si>
    <t>2.1.2</t>
  </si>
  <si>
    <t>用于流动资金</t>
  </si>
  <si>
    <t>借款</t>
  </si>
  <si>
    <t>2.2.1</t>
  </si>
  <si>
    <t>长期借款</t>
  </si>
  <si>
    <t>2.2.2</t>
  </si>
  <si>
    <t>流动资金借款</t>
  </si>
  <si>
    <t>2.2.3</t>
  </si>
  <si>
    <t>其他短期贷款</t>
  </si>
  <si>
    <t>其他</t>
  </si>
  <si>
    <t>长期借款本金</t>
  </si>
  <si>
    <t>长期借款利息</t>
  </si>
  <si>
    <t>损          益          表</t>
  </si>
  <si>
    <t>运          营          期</t>
  </si>
  <si>
    <r>
      <t>上网电量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万</t>
    </r>
    <r>
      <rPr>
        <sz val="11"/>
        <rFont val="Times New Roman"/>
        <family val="1"/>
      </rPr>
      <t>kW.h)</t>
    </r>
  </si>
  <si>
    <r>
      <t>上网电价（含增值税）</t>
    </r>
    <r>
      <rPr>
        <sz val="10"/>
        <rFont val="Times New Roman"/>
        <family val="1"/>
      </rPr>
      <t>(</t>
    </r>
    <r>
      <rPr>
        <sz val="10"/>
        <rFont val="宋体"/>
        <charset val="134"/>
      </rPr>
      <t>元</t>
    </r>
    <r>
      <rPr>
        <sz val="10"/>
        <rFont val="Times New Roman"/>
        <family val="1"/>
      </rPr>
      <t>/kW.h)</t>
    </r>
  </si>
  <si>
    <r>
      <t>上网电价（不含增值税）</t>
    </r>
    <r>
      <rPr>
        <sz val="10"/>
        <rFont val="Times New Roman"/>
        <family val="1"/>
      </rPr>
      <t>(</t>
    </r>
    <r>
      <rPr>
        <sz val="10"/>
        <rFont val="宋体"/>
        <charset val="134"/>
      </rPr>
      <t>元</t>
    </r>
    <r>
      <rPr>
        <sz val="10"/>
        <rFont val="Times New Roman"/>
        <family val="1"/>
      </rPr>
      <t>/kW.h)</t>
    </r>
  </si>
  <si>
    <t xml:space="preserve"> </t>
  </si>
  <si>
    <t>发电销售收入</t>
  </si>
  <si>
    <t>销售税金附加</t>
  </si>
  <si>
    <t>2.1</t>
  </si>
  <si>
    <t>2.2</t>
  </si>
  <si>
    <t>营业外收入</t>
  </si>
  <si>
    <t>总成本费用</t>
  </si>
  <si>
    <t>利润总额</t>
  </si>
  <si>
    <t>累计税后利润及弥补亏损</t>
  </si>
  <si>
    <t>C</t>
  </si>
  <si>
    <t>所得税</t>
  </si>
  <si>
    <t>所得税率</t>
  </si>
  <si>
    <t>弥补以前年度亏损</t>
  </si>
  <si>
    <t>净利润</t>
  </si>
  <si>
    <t>法定盈余公积金</t>
  </si>
  <si>
    <t>法定公益金</t>
  </si>
  <si>
    <t>可供分配利润</t>
  </si>
  <si>
    <t>偿还上年短期借款需要利润</t>
  </si>
  <si>
    <t>偿还本年长期贷款需要利润</t>
  </si>
  <si>
    <t>实际利润分配</t>
  </si>
  <si>
    <t>未分配利润</t>
  </si>
  <si>
    <t>累计未分配利润</t>
  </si>
  <si>
    <t>设备进项税总额</t>
  </si>
  <si>
    <t>销项税额</t>
  </si>
  <si>
    <t>代抵扣的增值税进项净值</t>
  </si>
  <si>
    <t>进项税额抵扣</t>
  </si>
  <si>
    <t>应交税金</t>
  </si>
  <si>
    <r>
      <t>营业外收入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增值税减半征收</t>
    </r>
    <r>
      <rPr>
        <sz val="11"/>
        <rFont val="Times New Roman"/>
        <family val="1"/>
      </rPr>
      <t>)</t>
    </r>
  </si>
  <si>
    <t>总成本估算表</t>
  </si>
  <si>
    <t>表</t>
  </si>
  <si>
    <t>建设期</t>
  </si>
  <si>
    <t>折旧费</t>
  </si>
  <si>
    <t>工资及福利等</t>
  </si>
  <si>
    <t>利息支出</t>
  </si>
  <si>
    <t xml:space="preserve">  长期贷款利息</t>
  </si>
  <si>
    <t xml:space="preserve">  流动资金贷款利息</t>
  </si>
  <si>
    <t>短期借款利息</t>
  </si>
  <si>
    <t>盈余资金利息收入</t>
  </si>
  <si>
    <r>
      <t xml:space="preserve">       </t>
    </r>
    <r>
      <rPr>
        <sz val="11"/>
        <rFont val="宋体"/>
        <charset val="134"/>
      </rPr>
      <t>固定成本</t>
    </r>
  </si>
  <si>
    <r>
      <t xml:space="preserve">       </t>
    </r>
    <r>
      <rPr>
        <sz val="11"/>
        <rFont val="宋体"/>
        <charset val="134"/>
      </rPr>
      <t>可变成本</t>
    </r>
  </si>
  <si>
    <r>
      <t xml:space="preserve">        </t>
    </r>
    <r>
      <rPr>
        <sz val="11"/>
        <rFont val="宋体"/>
        <charset val="134"/>
      </rPr>
      <t>其中：经营成本</t>
    </r>
  </si>
  <si>
    <t>人民币单位：万元</t>
  </si>
  <si>
    <t>固定资产</t>
  </si>
  <si>
    <t>待抵扣的固定资产进项税额</t>
  </si>
  <si>
    <t>原值</t>
  </si>
  <si>
    <t>当期折旧费</t>
  </si>
  <si>
    <t>净值</t>
  </si>
  <si>
    <t>流动负债-购进固定资产进项税待抵扣估算表</t>
  </si>
  <si>
    <t>递延资产(代抵扣固定资产进项税额)</t>
  </si>
  <si>
    <t>当期摊销费</t>
  </si>
  <si>
    <t>项目现金流量表</t>
  </si>
  <si>
    <t>现金流入</t>
  </si>
  <si>
    <t>1.1</t>
  </si>
  <si>
    <t>增值税销项税额</t>
  </si>
  <si>
    <t>1.2</t>
  </si>
  <si>
    <t>回收固定资产余值</t>
  </si>
  <si>
    <t>1.3</t>
  </si>
  <si>
    <t>回收流动资金</t>
  </si>
  <si>
    <t>现金流出</t>
  </si>
  <si>
    <t>固定资产投资</t>
  </si>
  <si>
    <t>应交增值税金</t>
  </si>
  <si>
    <t>2.4</t>
  </si>
  <si>
    <t>2.5</t>
  </si>
  <si>
    <t>2.7</t>
  </si>
  <si>
    <t>调整所得税</t>
  </si>
  <si>
    <t>息税前利润</t>
  </si>
  <si>
    <t>3</t>
  </si>
  <si>
    <t>净现金流量</t>
  </si>
  <si>
    <t>4</t>
  </si>
  <si>
    <t>累计净现金流量</t>
  </si>
  <si>
    <t>所得税后投资回收年</t>
  </si>
  <si>
    <t>所得税前净现金流量</t>
  </si>
  <si>
    <t>累计税前净现金流量</t>
  </si>
  <si>
    <t>所得税前投资回收年</t>
  </si>
  <si>
    <t>所得税后</t>
  </si>
  <si>
    <t>所得税前</t>
  </si>
  <si>
    <t>计算指标：财务内部收益率(％)</t>
  </si>
  <si>
    <r>
      <t>财务净现值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宋体"/>
        <charset val="134"/>
      </rPr>
      <t>万元</t>
    </r>
    <r>
      <rPr>
        <sz val="11"/>
        <color indexed="8"/>
        <rFont val="Times New Roman"/>
        <family val="1"/>
      </rPr>
      <t>)</t>
    </r>
  </si>
  <si>
    <t>Ic=</t>
  </si>
  <si>
    <r>
      <t>投资回收期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宋体"/>
        <charset val="134"/>
      </rPr>
      <t>含建设期</t>
    </r>
    <r>
      <rPr>
        <sz val="11"/>
        <color indexed="8"/>
        <rFont val="Times New Roman"/>
        <family val="1"/>
      </rPr>
      <t>)(</t>
    </r>
    <r>
      <rPr>
        <sz val="11"/>
        <color indexed="8"/>
        <rFont val="宋体"/>
        <charset val="134"/>
      </rPr>
      <t>年</t>
    </r>
    <r>
      <rPr>
        <sz val="11"/>
        <color indexed="8"/>
        <rFont val="Times New Roman"/>
        <family val="1"/>
      </rPr>
      <t>)</t>
    </r>
  </si>
  <si>
    <t>资本金财务现金流量表</t>
  </si>
  <si>
    <t xml:space="preserve">                                                                                   运          营          期</t>
  </si>
  <si>
    <t>借款本金偿还</t>
  </si>
  <si>
    <t>2.3</t>
  </si>
  <si>
    <t>借款利息支付</t>
  </si>
  <si>
    <t>应交增值税</t>
  </si>
  <si>
    <t>2.8</t>
  </si>
  <si>
    <r>
      <t>计算指标：资本金财务内部收益率</t>
    </r>
    <r>
      <rPr>
        <sz val="11"/>
        <color indexed="8"/>
        <rFont val="Times New Roman"/>
        <family val="1"/>
      </rPr>
      <t>(%)</t>
    </r>
    <r>
      <rPr>
        <sz val="11"/>
        <color indexed="8"/>
        <rFont val="宋体"/>
        <charset val="134"/>
      </rPr>
      <t>：</t>
    </r>
  </si>
  <si>
    <r>
      <t>资本金财务净现值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宋体"/>
        <charset val="134"/>
      </rPr>
      <t>万元</t>
    </r>
    <r>
      <rPr>
        <sz val="11"/>
        <color indexed="8"/>
        <rFont val="Times New Roman"/>
        <family val="1"/>
      </rPr>
      <t>)</t>
    </r>
  </si>
  <si>
    <t xml:space="preserve"> ic=</t>
  </si>
  <si>
    <t>投资方财务现金流量表</t>
  </si>
  <si>
    <t>利润分配</t>
  </si>
  <si>
    <t>资产处置收益分配</t>
  </si>
  <si>
    <t>1.2.1</t>
  </si>
  <si>
    <t>1.2.2</t>
  </si>
  <si>
    <t>1.2.3</t>
  </si>
  <si>
    <t>回收自有流动资金</t>
  </si>
  <si>
    <t>1.2.4</t>
  </si>
  <si>
    <t>回收法定公积金</t>
  </si>
  <si>
    <t>建设投资资本金</t>
  </si>
  <si>
    <t>自有流动资金</t>
  </si>
  <si>
    <t>累计净现金流</t>
  </si>
  <si>
    <r>
      <t>计算指标：投资方财务内部收益率</t>
    </r>
    <r>
      <rPr>
        <sz val="11"/>
        <color indexed="8"/>
        <rFont val="Times New Roman"/>
        <family val="1"/>
      </rPr>
      <t>(%)</t>
    </r>
    <r>
      <rPr>
        <sz val="11"/>
        <color indexed="8"/>
        <rFont val="宋体"/>
        <charset val="134"/>
      </rPr>
      <t>：</t>
    </r>
  </si>
  <si>
    <r>
      <t>投资方财务净现值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宋体"/>
        <charset val="134"/>
      </rPr>
      <t>万元</t>
    </r>
    <r>
      <rPr>
        <sz val="11"/>
        <color indexed="8"/>
        <rFont val="Times New Roman"/>
        <family val="1"/>
      </rPr>
      <t>)</t>
    </r>
  </si>
  <si>
    <t>资产负债表</t>
  </si>
  <si>
    <t>资产</t>
  </si>
  <si>
    <t>流动资产总值</t>
  </si>
  <si>
    <t>1.1.1</t>
  </si>
  <si>
    <t>流动资产</t>
  </si>
  <si>
    <t>1.1.2</t>
  </si>
  <si>
    <t>累计盈余资金</t>
  </si>
  <si>
    <t>在建工程</t>
  </si>
  <si>
    <t>固定资产净值</t>
  </si>
  <si>
    <t>1.4</t>
  </si>
  <si>
    <t>无形及其他资产净值</t>
  </si>
  <si>
    <t>2</t>
  </si>
  <si>
    <t>负债及所有者权益</t>
  </si>
  <si>
    <t>流动负债总值</t>
  </si>
  <si>
    <t>短期借款</t>
  </si>
  <si>
    <r>
      <t xml:space="preserve">     </t>
    </r>
    <r>
      <rPr>
        <sz val="10.5"/>
        <color indexed="8"/>
        <rFont val="宋体"/>
        <charset val="134"/>
      </rPr>
      <t>负债小计</t>
    </r>
  </si>
  <si>
    <t>所有者权益</t>
  </si>
  <si>
    <t>2.4.1</t>
  </si>
  <si>
    <t>2.4.2</t>
  </si>
  <si>
    <t>累计三金</t>
  </si>
  <si>
    <t>2.4.3</t>
  </si>
  <si>
    <r>
      <t xml:space="preserve">     </t>
    </r>
    <r>
      <rPr>
        <sz val="10.5"/>
        <color indexed="8"/>
        <rFont val="宋体"/>
        <charset val="134"/>
      </rPr>
      <t>资产负债率</t>
    </r>
    <r>
      <rPr>
        <sz val="10.5"/>
        <color indexed="8"/>
        <rFont val="Times New Roman"/>
        <family val="1"/>
      </rPr>
      <t>(%)</t>
    </r>
  </si>
  <si>
    <t>借款还本付息计划表</t>
  </si>
  <si>
    <t>年初借款余额</t>
  </si>
  <si>
    <t>本金</t>
  </si>
  <si>
    <r>
      <t>建设期利息</t>
    </r>
    <r>
      <rPr>
        <sz val="11"/>
        <rFont val="Times New Roman"/>
        <family val="1"/>
      </rPr>
      <t xml:space="preserve"> </t>
    </r>
  </si>
  <si>
    <t>当期还本付息</t>
  </si>
  <si>
    <t>其中：还本</t>
  </si>
  <si>
    <t xml:space="preserve">     付息</t>
  </si>
  <si>
    <t>借款合计</t>
  </si>
  <si>
    <t>息税前利润（EBIT）</t>
  </si>
  <si>
    <t>息税前利润(含增值税）</t>
  </si>
  <si>
    <t>利息备付率（ICR）</t>
  </si>
  <si>
    <t>ebitda</t>
  </si>
  <si>
    <t>ebitda+-tax</t>
  </si>
  <si>
    <r>
      <t>偿债备付率（</t>
    </r>
    <r>
      <rPr>
        <b/>
        <sz val="10"/>
        <rFont val="Times New Roman"/>
        <family val="1"/>
      </rPr>
      <t>dscr</t>
    </r>
    <r>
      <rPr>
        <b/>
        <sz val="10"/>
        <rFont val="宋体"/>
        <charset val="134"/>
      </rPr>
      <t>）</t>
    </r>
  </si>
  <si>
    <r>
      <rPr>
        <b/>
        <sz val="16"/>
        <color indexed="8"/>
        <rFont val="宋体"/>
        <charset val="134"/>
      </rPr>
      <t>财务计划现金流量表</t>
    </r>
  </si>
  <si>
    <r>
      <rPr>
        <sz val="12"/>
        <color indexed="8"/>
        <rFont val="宋体"/>
        <charset val="134"/>
      </rPr>
      <t>附表</t>
    </r>
    <r>
      <rPr>
        <sz val="12"/>
        <color indexed="8"/>
        <rFont val="Arial"/>
        <family val="2"/>
      </rPr>
      <t>7</t>
    </r>
  </si>
  <si>
    <r>
      <rPr>
        <sz val="9"/>
        <color indexed="8"/>
        <rFont val="宋体"/>
        <charset val="134"/>
      </rPr>
      <t>单位：万元</t>
    </r>
  </si>
  <si>
    <r>
      <rPr>
        <b/>
        <sz val="10"/>
        <color indexed="8"/>
        <rFont val="宋体"/>
        <charset val="134"/>
      </rPr>
      <t>序号</t>
    </r>
  </si>
  <si>
    <r>
      <rPr>
        <b/>
        <sz val="10"/>
        <color indexed="8"/>
        <rFont val="宋体"/>
        <charset val="134"/>
      </rPr>
      <t>项</t>
    </r>
    <r>
      <rPr>
        <b/>
        <sz val="10"/>
        <color indexed="8"/>
        <rFont val="Arial"/>
        <family val="2"/>
      </rPr>
      <t xml:space="preserve">  </t>
    </r>
    <r>
      <rPr>
        <b/>
        <sz val="10"/>
        <color indexed="8"/>
        <rFont val="宋体"/>
        <charset val="134"/>
      </rPr>
      <t>目</t>
    </r>
  </si>
  <si>
    <r>
      <rPr>
        <b/>
        <sz val="10"/>
        <color indexed="8"/>
        <rFont val="宋体"/>
        <charset val="134"/>
      </rPr>
      <t>合计</t>
    </r>
  </si>
  <si>
    <r>
      <t xml:space="preserve">运 </t>
    </r>
    <r>
      <rPr>
        <sz val="10"/>
        <rFont val="宋体"/>
        <charset val="134"/>
      </rPr>
      <t xml:space="preserve">         </t>
    </r>
    <r>
      <rPr>
        <sz val="10"/>
        <rFont val="宋体"/>
        <charset val="134"/>
      </rPr>
      <t>营</t>
    </r>
    <r>
      <rPr>
        <sz val="10"/>
        <rFont val="宋体"/>
        <charset val="134"/>
      </rPr>
      <t xml:space="preserve">             </t>
    </r>
    <r>
      <rPr>
        <sz val="10"/>
        <rFont val="宋体"/>
        <charset val="134"/>
      </rPr>
      <t>期</t>
    </r>
  </si>
  <si>
    <r>
      <rPr>
        <b/>
        <sz val="10"/>
        <color indexed="8"/>
        <rFont val="宋体"/>
        <charset val="134"/>
      </rPr>
      <t>经营活动净现金流量</t>
    </r>
  </si>
  <si>
    <r>
      <rPr>
        <b/>
        <sz val="10"/>
        <color indexed="8"/>
        <rFont val="宋体"/>
        <charset val="134"/>
      </rPr>
      <t>现金流入</t>
    </r>
  </si>
  <si>
    <r>
      <rPr>
        <sz val="10"/>
        <color indexed="8"/>
        <rFont val="宋体"/>
        <charset val="134"/>
      </rPr>
      <t>销售收入</t>
    </r>
  </si>
  <si>
    <t>1.1.3</t>
  </si>
  <si>
    <r>
      <rPr>
        <sz val="10"/>
        <color indexed="8"/>
        <rFont val="宋体"/>
        <charset val="134"/>
      </rPr>
      <t>回收流动资金</t>
    </r>
  </si>
  <si>
    <r>
      <rPr>
        <b/>
        <sz val="10"/>
        <color indexed="8"/>
        <rFont val="宋体"/>
        <charset val="134"/>
      </rPr>
      <t>现金流出</t>
    </r>
  </si>
  <si>
    <r>
      <rPr>
        <sz val="10"/>
        <color indexed="8"/>
        <rFont val="宋体"/>
        <charset val="134"/>
      </rPr>
      <t>经营成本</t>
    </r>
  </si>
  <si>
    <r>
      <rPr>
        <sz val="10"/>
        <color indexed="8"/>
        <rFont val="宋体"/>
        <charset val="134"/>
      </rPr>
      <t>城建税及教育附加</t>
    </r>
  </si>
  <si>
    <r>
      <rPr>
        <sz val="10"/>
        <color indexed="8"/>
        <rFont val="宋体"/>
        <charset val="134"/>
      </rPr>
      <t>所得税</t>
    </r>
  </si>
  <si>
    <t>1.2.5</t>
  </si>
  <si>
    <r>
      <rPr>
        <sz val="10"/>
        <color indexed="8"/>
        <rFont val="宋体"/>
        <charset val="134"/>
      </rPr>
      <t>其他流出</t>
    </r>
  </si>
  <si>
    <r>
      <rPr>
        <b/>
        <sz val="10"/>
        <color indexed="8"/>
        <rFont val="宋体"/>
        <charset val="134"/>
      </rPr>
      <t>投资、筹资活动净现金流量</t>
    </r>
  </si>
  <si>
    <r>
      <rPr>
        <sz val="10"/>
        <color indexed="8"/>
        <rFont val="宋体"/>
        <charset val="134"/>
      </rPr>
      <t>项目资本金投入</t>
    </r>
  </si>
  <si>
    <r>
      <rPr>
        <sz val="10"/>
        <color indexed="8"/>
        <rFont val="宋体"/>
        <charset val="134"/>
      </rPr>
      <t>建设投资借款</t>
    </r>
  </si>
  <si>
    <t>2.1.3</t>
  </si>
  <si>
    <r>
      <rPr>
        <sz val="10"/>
        <color indexed="8"/>
        <rFont val="宋体"/>
        <charset val="134"/>
      </rPr>
      <t>流动资金借款</t>
    </r>
  </si>
  <si>
    <t>2.1.4</t>
  </si>
  <si>
    <r>
      <rPr>
        <sz val="10"/>
        <color indexed="8"/>
        <rFont val="宋体"/>
        <charset val="134"/>
      </rPr>
      <t>短期借款</t>
    </r>
  </si>
  <si>
    <t>2.1.5</t>
  </si>
  <si>
    <r>
      <rPr>
        <sz val="10"/>
        <color indexed="8"/>
        <rFont val="宋体"/>
        <charset val="134"/>
      </rPr>
      <t>回收固定资产余值</t>
    </r>
  </si>
  <si>
    <r>
      <rPr>
        <sz val="10"/>
        <color indexed="8"/>
        <rFont val="宋体"/>
        <charset val="134"/>
      </rPr>
      <t>建设投资</t>
    </r>
  </si>
  <si>
    <r>
      <rPr>
        <sz val="10"/>
        <color indexed="8"/>
        <rFont val="宋体"/>
        <charset val="134"/>
      </rPr>
      <t>流动资金</t>
    </r>
  </si>
  <si>
    <t>长期借款本金偿还</t>
  </si>
  <si>
    <t>短期借款本金偿还</t>
  </si>
  <si>
    <t>流动负债本金偿还</t>
  </si>
  <si>
    <t>2.2.4</t>
  </si>
  <si>
    <r>
      <rPr>
        <sz val="10"/>
        <color indexed="8"/>
        <rFont val="宋体"/>
        <charset val="134"/>
      </rPr>
      <t>各种利息支出</t>
    </r>
  </si>
  <si>
    <t>2.2.5</t>
  </si>
  <si>
    <r>
      <rPr>
        <sz val="10"/>
        <color indexed="8"/>
        <rFont val="宋体"/>
        <charset val="134"/>
      </rPr>
      <t>各投资方利润分配</t>
    </r>
  </si>
  <si>
    <t>2.2.6</t>
  </si>
  <si>
    <r>
      <rPr>
        <b/>
        <sz val="10"/>
        <color indexed="8"/>
        <rFont val="宋体"/>
        <charset val="134"/>
      </rPr>
      <t>净现金流量</t>
    </r>
  </si>
  <si>
    <r>
      <rPr>
        <b/>
        <sz val="10"/>
        <color indexed="8"/>
        <rFont val="宋体"/>
        <charset val="134"/>
      </rPr>
      <t>累计盈余资金</t>
    </r>
  </si>
  <si>
    <t>收益现值法</t>
  </si>
  <si>
    <t>净现金流量</t>
    <phoneticPr fontId="61" type="noConversion"/>
  </si>
  <si>
    <t>终值</t>
    <phoneticPr fontId="61" type="noConversion"/>
  </si>
  <si>
    <t>卖出价格</t>
    <phoneticPr fontId="61" type="noConversion"/>
  </si>
  <si>
    <r>
      <t>10%</t>
    </r>
    <r>
      <rPr>
        <sz val="11"/>
        <rFont val="宋体"/>
        <charset val="134"/>
      </rPr>
      <t>股权卖出价格</t>
    </r>
    <phoneticPr fontId="61" type="noConversion"/>
  </si>
  <si>
    <t>运营年</t>
    <phoneticPr fontId="61" type="noConversion"/>
  </si>
  <si>
    <t>市场价值法：自由现金流量=息前税后利润+所得税抵扣额+折旧及摊销-资本性支出-营运资金追加额</t>
    <phoneticPr fontId="61" type="noConversion"/>
  </si>
  <si>
    <t>该年末卖出价格</t>
    <phoneticPr fontId="61" type="noConversion"/>
  </si>
  <si>
    <t>资本性支出</t>
    <phoneticPr fontId="61" type="noConversion"/>
  </si>
  <si>
    <t>息税前利润-调整所得税+折旧摊销</t>
    <phoneticPr fontId="61" type="noConversion"/>
  </si>
  <si>
    <t>备注：上述价格仅为未来现金流，不包括公司账面盈余资金。</t>
    <phoneticPr fontId="61" type="noConversion"/>
  </si>
  <si>
    <t>累计未分配利润</t>
    <phoneticPr fontId="61" type="noConversion"/>
  </si>
  <si>
    <t>溢价率</t>
    <phoneticPr fontId="61" type="noConversion"/>
  </si>
  <si>
    <t>资本金</t>
    <phoneticPr fontId="61" type="noConversion"/>
  </si>
  <si>
    <t>股权+利润分配</t>
    <phoneticPr fontId="61" type="noConversion"/>
  </si>
  <si>
    <t>材料费</t>
    <phoneticPr fontId="61" type="noConversion"/>
  </si>
  <si>
    <t>保险费</t>
    <phoneticPr fontId="61" type="noConversion"/>
  </si>
  <si>
    <t>静态投资</t>
    <phoneticPr fontId="63" type="noConversion"/>
  </si>
  <si>
    <t>a</t>
    <phoneticPr fontId="63" type="noConversion"/>
  </si>
  <si>
    <t>合计</t>
    <phoneticPr fontId="63" type="noConversion"/>
  </si>
  <si>
    <t>i</t>
    <phoneticPr fontId="63" type="noConversion"/>
  </si>
  <si>
    <t>资本金</t>
    <phoneticPr fontId="63" type="noConversion"/>
  </si>
  <si>
    <t>b</t>
    <phoneticPr fontId="63" type="noConversion"/>
  </si>
  <si>
    <t>贷款</t>
    <phoneticPr fontId="63" type="noConversion"/>
  </si>
  <si>
    <t>年度静态投资</t>
    <phoneticPr fontId="63" type="noConversion"/>
  </si>
  <si>
    <t>年度资本金</t>
    <phoneticPr fontId="63" type="noConversion"/>
  </si>
  <si>
    <t>年度贷款</t>
    <phoneticPr fontId="63" type="noConversion"/>
  </si>
  <si>
    <t>年度利息</t>
    <phoneticPr fontId="63" type="noConversion"/>
  </si>
  <si>
    <r>
      <t>100%</t>
    </r>
    <r>
      <rPr>
        <sz val="11"/>
        <rFont val="宋体"/>
        <charset val="134"/>
      </rPr>
      <t>股权卖出价格</t>
    </r>
    <phoneticPr fontId="61" type="noConversion"/>
  </si>
  <si>
    <t>可分配利润</t>
    <phoneticPr fontId="61" type="noConversion"/>
  </si>
  <si>
    <t>不含利润分配的流出</t>
    <phoneticPr fontId="61" type="noConversion"/>
  </si>
  <si>
    <t>净现金流（不含利润分配）</t>
    <phoneticPr fontId="61" type="noConversion"/>
  </si>
  <si>
    <t>实际分配利润</t>
    <phoneticPr fontId="61" type="noConversion"/>
  </si>
  <si>
    <t>增值税</t>
    <phoneticPr fontId="61" type="noConversion"/>
  </si>
  <si>
    <t>累计盈余资金</t>
    <phoneticPr fontId="61" type="noConversion"/>
  </si>
  <si>
    <t>所得税</t>
    <phoneticPr fontId="61" type="noConversion"/>
  </si>
  <si>
    <t>印花税</t>
    <phoneticPr fontId="61" type="noConversion"/>
  </si>
  <si>
    <t>税后收益</t>
    <phoneticPr fontId="61" type="noConversion"/>
  </si>
  <si>
    <t>所有者权益</t>
    <phoneticPr fontId="61" type="noConversion"/>
  </si>
  <si>
    <t>基准内部收益率</t>
    <phoneticPr fontId="61" type="noConversion"/>
  </si>
  <si>
    <t>长期待摊租金</t>
    <phoneticPr fontId="61" type="noConversion"/>
  </si>
  <si>
    <t>回收固定资产和无形资产余值</t>
    <phoneticPr fontId="61" type="noConversion"/>
  </si>
  <si>
    <t>回收累计盈余资金（含法定公积金）</t>
    <phoneticPr fontId="61" type="noConversion"/>
  </si>
  <si>
    <t>土地租金</t>
    <phoneticPr fontId="61" type="noConversion"/>
  </si>
  <si>
    <t>应缴增值税</t>
    <phoneticPr fontId="61" type="noConversion"/>
  </si>
  <si>
    <t>大额租金</t>
    <phoneticPr fontId="61" type="noConversion"/>
  </si>
  <si>
    <t>c</t>
    <phoneticPr fontId="61" type="noConversion"/>
  </si>
  <si>
    <t>j</t>
    <phoneticPr fontId="61" type="noConversion"/>
  </si>
  <si>
    <t>D</t>
    <phoneticPr fontId="63" type="noConversion"/>
  </si>
  <si>
    <t>动态投资</t>
    <phoneticPr fontId="63" type="noConversion"/>
  </si>
  <si>
    <t>Z</t>
    <phoneticPr fontId="61" type="noConversion"/>
  </si>
  <si>
    <t>总投资</t>
    <phoneticPr fontId="61" type="noConversion"/>
  </si>
  <si>
    <t>其他费用</t>
    <phoneticPr fontId="61" type="noConversion"/>
  </si>
  <si>
    <t>万元</t>
    <phoneticPr fontId="61" type="noConversion"/>
  </si>
  <si>
    <t>增值税即征即退补贴</t>
    <phoneticPr fontId="61" type="noConversion"/>
  </si>
  <si>
    <t>教育费附加</t>
    <phoneticPr fontId="61" type="noConversion"/>
  </si>
  <si>
    <t>城市维护建设费</t>
    <phoneticPr fontId="61" type="noConversion"/>
  </si>
  <si>
    <t>营业外收入(增值税即征即退)</t>
    <phoneticPr fontId="61" type="noConversion"/>
  </si>
  <si>
    <t>2.2.1.1</t>
    <phoneticPr fontId="61" type="noConversion"/>
  </si>
  <si>
    <t>2.2.1.2</t>
    <phoneticPr fontId="61" type="noConversion"/>
  </si>
  <si>
    <t>辅助测算表</t>
    <phoneticPr fontId="61" type="noConversion"/>
  </si>
  <si>
    <t>建设期</t>
    <phoneticPr fontId="61" type="noConversion"/>
  </si>
  <si>
    <t>运营期</t>
    <phoneticPr fontId="61" type="noConversion"/>
  </si>
  <si>
    <t>%</t>
    <phoneticPr fontId="61" type="noConversion"/>
  </si>
  <si>
    <t>hm2/10MW</t>
  </si>
  <si>
    <t>新增亏损</t>
    <phoneticPr fontId="61" type="noConversion"/>
  </si>
  <si>
    <t>到期亏损</t>
    <phoneticPr fontId="61" type="noConversion"/>
  </si>
  <si>
    <t>增值税即征即退补贴</t>
    <phoneticPr fontId="61" type="noConversion"/>
  </si>
  <si>
    <t>2.6</t>
  </si>
  <si>
    <t>1.5</t>
  </si>
  <si>
    <t>1.1.4</t>
    <phoneticPr fontId="61" type="noConversion"/>
  </si>
  <si>
    <t>补贴未到位资金</t>
    <phoneticPr fontId="61" type="noConversion"/>
  </si>
  <si>
    <t>1.1.3</t>
    <phoneticPr fontId="61" type="noConversion"/>
  </si>
  <si>
    <t>应收账款</t>
    <phoneticPr fontId="61" type="noConversion"/>
  </si>
  <si>
    <t>长期待摊费用</t>
    <phoneticPr fontId="61" type="noConversion"/>
  </si>
  <si>
    <t>长期待摊费用</t>
    <phoneticPr fontId="61" type="noConversion"/>
  </si>
  <si>
    <r>
      <rPr>
        <sz val="11"/>
        <rFont val="宋体"/>
        <charset val="134"/>
      </rPr>
      <t>序号</t>
    </r>
  </si>
  <si>
    <r>
      <rPr>
        <sz val="11"/>
        <rFont val="宋体"/>
        <charset val="134"/>
      </rPr>
      <t>名</t>
    </r>
    <r>
      <rPr>
        <sz val="11"/>
        <rFont val="Times New Roman"/>
        <family val="1"/>
      </rPr>
      <t xml:space="preserve">               </t>
    </r>
    <r>
      <rPr>
        <sz val="11"/>
        <rFont val="宋体"/>
        <charset val="134"/>
      </rPr>
      <t>称</t>
    </r>
  </si>
  <si>
    <r>
      <rPr>
        <sz val="11"/>
        <rFont val="宋体"/>
        <charset val="134"/>
      </rPr>
      <t>指标</t>
    </r>
  </si>
  <si>
    <r>
      <rPr>
        <sz val="11"/>
        <rFont val="宋体"/>
        <charset val="134"/>
      </rPr>
      <t>单位</t>
    </r>
  </si>
  <si>
    <r>
      <rPr>
        <sz val="11"/>
        <rFont val="宋体"/>
        <charset val="134"/>
      </rPr>
      <t>说明</t>
    </r>
    <phoneticPr fontId="61" type="noConversion"/>
  </si>
  <si>
    <r>
      <rPr>
        <sz val="11"/>
        <rFont val="宋体"/>
        <charset val="134"/>
      </rPr>
      <t>万</t>
    </r>
    <r>
      <rPr>
        <sz val="11"/>
        <rFont val="Times New Roman"/>
        <family val="1"/>
      </rPr>
      <t>kW</t>
    </r>
  </si>
  <si>
    <r>
      <rPr>
        <sz val="11"/>
        <rFont val="宋体"/>
        <charset val="134"/>
      </rPr>
      <t>数据来源：预可行性研究报告或可行性研究报告</t>
    </r>
  </si>
  <si>
    <r>
      <rPr>
        <sz val="11"/>
        <rFont val="宋体"/>
        <charset val="134"/>
      </rPr>
      <t>小时</t>
    </r>
    <phoneticPr fontId="61" type="noConversion"/>
  </si>
  <si>
    <r>
      <rPr>
        <sz val="11"/>
        <rFont val="宋体"/>
        <charset val="134"/>
      </rPr>
      <t>数据来源：预可行性研究报告或可行性研究报告；初步测算时，可从</t>
    </r>
    <r>
      <rPr>
        <sz val="11"/>
        <rFont val="Times New Roman"/>
        <family val="1"/>
      </rPr>
      <t>https://globalsolaratlas.info/</t>
    </r>
    <r>
      <rPr>
        <sz val="11"/>
        <rFont val="宋体"/>
        <charset val="134"/>
      </rPr>
      <t>查询相关数据</t>
    </r>
    <phoneticPr fontId="61" type="noConversion"/>
  </si>
  <si>
    <r>
      <rPr>
        <sz val="11"/>
        <rFont val="宋体"/>
        <charset val="134"/>
      </rPr>
      <t>运营年度</t>
    </r>
    <phoneticPr fontId="61" type="noConversion"/>
  </si>
  <si>
    <r>
      <rPr>
        <sz val="11"/>
        <rFont val="宋体"/>
        <charset val="134"/>
      </rPr>
      <t>衰减后功率比例</t>
    </r>
    <phoneticPr fontId="61" type="noConversion"/>
  </si>
  <si>
    <r>
      <rPr>
        <sz val="11"/>
        <rFont val="宋体"/>
        <charset val="134"/>
      </rPr>
      <t>负荷率</t>
    </r>
  </si>
  <si>
    <r>
      <rPr>
        <sz val="11"/>
        <rFont val="宋体"/>
        <charset val="134"/>
      </rPr>
      <t>小时</t>
    </r>
  </si>
  <si>
    <r>
      <rPr>
        <sz val="11"/>
        <rFont val="宋体"/>
        <charset val="134"/>
      </rPr>
      <t>上网电价</t>
    </r>
    <phoneticPr fontId="61" type="noConversion"/>
  </si>
  <si>
    <r>
      <rPr>
        <sz val="11"/>
        <rFont val="宋体"/>
        <charset val="134"/>
      </rPr>
      <t>元</t>
    </r>
    <r>
      <rPr>
        <sz val="11"/>
        <rFont val="Times New Roman"/>
        <family val="1"/>
      </rPr>
      <t>/kW·h</t>
    </r>
  </si>
  <si>
    <r>
      <rPr>
        <sz val="11"/>
        <rFont val="宋体"/>
        <charset val="134"/>
      </rPr>
      <t>无补贴上网电价</t>
    </r>
    <phoneticPr fontId="61" type="noConversion"/>
  </si>
  <si>
    <r>
      <rPr>
        <sz val="11"/>
        <rFont val="宋体"/>
        <charset val="134"/>
      </rPr>
      <t>度电补贴强度</t>
    </r>
    <phoneticPr fontId="61" type="noConversion"/>
  </si>
  <si>
    <r>
      <rPr>
        <sz val="11"/>
        <rFont val="宋体"/>
        <charset val="134"/>
      </rPr>
      <t>补贴到位率</t>
    </r>
    <phoneticPr fontId="61" type="noConversion"/>
  </si>
  <si>
    <r>
      <rPr>
        <sz val="11"/>
        <rFont val="宋体"/>
        <charset val="134"/>
      </rPr>
      <t>静态投资</t>
    </r>
    <phoneticPr fontId="61" type="noConversion"/>
  </si>
  <si>
    <r>
      <rPr>
        <sz val="11"/>
        <rFont val="宋体"/>
        <charset val="134"/>
      </rPr>
      <t>万元</t>
    </r>
    <phoneticPr fontId="61" type="noConversion"/>
  </si>
  <si>
    <r>
      <rPr>
        <sz val="11"/>
        <rFont val="宋体"/>
        <charset val="134"/>
      </rPr>
      <t>建安工程费</t>
    </r>
    <phoneticPr fontId="61" type="noConversion"/>
  </si>
  <si>
    <r>
      <rPr>
        <sz val="11"/>
        <rFont val="宋体"/>
        <charset val="134"/>
      </rPr>
      <t>万元</t>
    </r>
    <phoneticPr fontId="61" type="noConversion"/>
  </si>
  <si>
    <r>
      <rPr>
        <sz val="11"/>
        <rFont val="宋体"/>
        <charset val="134"/>
      </rPr>
      <t>设备购置费</t>
    </r>
    <phoneticPr fontId="61" type="noConversion"/>
  </si>
  <si>
    <r>
      <rPr>
        <sz val="11"/>
        <rFont val="宋体"/>
        <charset val="134"/>
      </rPr>
      <t>其他费用</t>
    </r>
    <phoneticPr fontId="61" type="noConversion"/>
  </si>
  <si>
    <r>
      <rPr>
        <sz val="11"/>
        <rFont val="宋体"/>
        <charset val="134"/>
      </rPr>
      <t>万元</t>
    </r>
    <phoneticPr fontId="61" type="noConversion"/>
  </si>
  <si>
    <r>
      <rPr>
        <sz val="11"/>
        <rFont val="宋体"/>
        <charset val="134"/>
      </rPr>
      <t>其中：建设用地费</t>
    </r>
    <phoneticPr fontId="61" type="noConversion"/>
  </si>
  <si>
    <r>
      <rPr>
        <sz val="11"/>
        <rFont val="宋体"/>
        <charset val="134"/>
      </rPr>
      <t>其中：勘察设计费</t>
    </r>
    <phoneticPr fontId="61" type="noConversion"/>
  </si>
  <si>
    <r>
      <rPr>
        <sz val="11"/>
        <rFont val="宋体"/>
        <charset val="134"/>
      </rPr>
      <t>基本预备费</t>
    </r>
    <phoneticPr fontId="61" type="noConversion"/>
  </si>
  <si>
    <r>
      <rPr>
        <sz val="11"/>
        <rFont val="宋体"/>
        <charset val="134"/>
      </rPr>
      <t>单位静态投资</t>
    </r>
    <phoneticPr fontId="61" type="noConversion"/>
  </si>
  <si>
    <r>
      <rPr>
        <sz val="11"/>
        <rFont val="宋体"/>
        <charset val="134"/>
      </rPr>
      <t>元</t>
    </r>
    <r>
      <rPr>
        <sz val="11"/>
        <rFont val="Times New Roman"/>
        <family val="1"/>
      </rPr>
      <t>/kW</t>
    </r>
    <phoneticPr fontId="61" type="noConversion"/>
  </si>
  <si>
    <r>
      <t>EPC</t>
    </r>
    <r>
      <rPr>
        <sz val="11"/>
        <rFont val="宋体"/>
        <charset val="134"/>
      </rPr>
      <t>单价</t>
    </r>
    <phoneticPr fontId="61" type="noConversion"/>
  </si>
  <si>
    <r>
      <rPr>
        <sz val="11"/>
        <rFont val="宋体"/>
        <charset val="134"/>
      </rPr>
      <t>建设期可抵扣增值税</t>
    </r>
    <phoneticPr fontId="61" type="noConversion"/>
  </si>
  <si>
    <r>
      <rPr>
        <sz val="11"/>
        <rFont val="宋体"/>
        <charset val="134"/>
      </rPr>
      <t>建安工程费增值税税率</t>
    </r>
    <phoneticPr fontId="61" type="noConversion"/>
  </si>
  <si>
    <r>
      <rPr>
        <sz val="11"/>
        <rFont val="宋体"/>
        <charset val="134"/>
      </rPr>
      <t>可不调整</t>
    </r>
    <phoneticPr fontId="61" type="noConversion"/>
  </si>
  <si>
    <r>
      <rPr>
        <sz val="11"/>
        <rFont val="宋体"/>
        <charset val="134"/>
      </rPr>
      <t>设备购置费增值税税率</t>
    </r>
    <phoneticPr fontId="61" type="noConversion"/>
  </si>
  <si>
    <r>
      <rPr>
        <sz val="11"/>
        <rFont val="宋体"/>
        <charset val="134"/>
      </rPr>
      <t>可不调整</t>
    </r>
    <phoneticPr fontId="61" type="noConversion"/>
  </si>
  <si>
    <r>
      <rPr>
        <sz val="11"/>
        <rFont val="宋体"/>
        <charset val="134"/>
      </rPr>
      <t>勘察设计费增值税税率</t>
    </r>
    <phoneticPr fontId="61" type="noConversion"/>
  </si>
  <si>
    <r>
      <rPr>
        <sz val="11"/>
        <rFont val="宋体"/>
        <charset val="134"/>
      </rPr>
      <t>流动资金总额</t>
    </r>
  </si>
  <si>
    <r>
      <rPr>
        <sz val="11"/>
        <rFont val="宋体"/>
        <charset val="134"/>
      </rPr>
      <t>万元</t>
    </r>
  </si>
  <si>
    <r>
      <rPr>
        <sz val="11"/>
        <rFont val="宋体"/>
        <charset val="134"/>
      </rPr>
      <t>资本金比例</t>
    </r>
    <phoneticPr fontId="61" type="noConversion"/>
  </si>
  <si>
    <r>
      <rPr>
        <sz val="11"/>
        <rFont val="宋体"/>
        <charset val="134"/>
      </rPr>
      <t>根据《国务院关于加强固定资产投资项目资本金管理的通知》（国发〔</t>
    </r>
    <r>
      <rPr>
        <sz val="11"/>
        <rFont val="Times New Roman"/>
        <family val="1"/>
      </rPr>
      <t>2019</t>
    </r>
    <r>
      <rPr>
        <sz val="11"/>
        <rFont val="宋体"/>
        <charset val="134"/>
      </rPr>
      <t>〕</t>
    </r>
    <r>
      <rPr>
        <sz val="11"/>
        <rFont val="Times New Roman"/>
        <family val="1"/>
      </rPr>
      <t>26</t>
    </r>
    <r>
      <rPr>
        <sz val="11"/>
        <rFont val="宋体"/>
        <charset val="134"/>
      </rPr>
      <t>号），电力项目最低资本金比例取</t>
    </r>
    <r>
      <rPr>
        <sz val="11"/>
        <rFont val="Times New Roman"/>
        <family val="1"/>
      </rPr>
      <t>20%</t>
    </r>
    <r>
      <rPr>
        <sz val="11"/>
        <rFont val="宋体"/>
        <charset val="134"/>
      </rPr>
      <t>。须与可行性研究报告一致。计算资本金基数的总投资，是指投资项目的固定资产投资与铺底流动资金之和，具体核定时以经批准的动态概算为依据</t>
    </r>
    <phoneticPr fontId="61" type="noConversion"/>
  </si>
  <si>
    <r>
      <rPr>
        <sz val="11"/>
        <rFont val="宋体"/>
        <charset val="134"/>
      </rPr>
      <t>长期借款利率</t>
    </r>
  </si>
  <si>
    <r>
      <rPr>
        <sz val="11"/>
        <rFont val="宋体"/>
        <charset val="134"/>
      </rPr>
      <t>长期借款年限（不含建设期）</t>
    </r>
    <phoneticPr fontId="61" type="noConversion"/>
  </si>
  <si>
    <r>
      <rPr>
        <sz val="11"/>
        <rFont val="宋体"/>
        <charset val="134"/>
      </rPr>
      <t>年</t>
    </r>
  </si>
  <si>
    <r>
      <rPr>
        <sz val="11"/>
        <rFont val="宋体"/>
        <charset val="134"/>
      </rPr>
      <t>流动资金贷款利率</t>
    </r>
  </si>
  <si>
    <r>
      <rPr>
        <sz val="11"/>
        <rFont val="宋体"/>
        <charset val="134"/>
      </rPr>
      <t>短期贷款利息</t>
    </r>
  </si>
  <si>
    <r>
      <rPr>
        <sz val="11"/>
        <rFont val="宋体"/>
        <charset val="134"/>
      </rPr>
      <t>建设周期</t>
    </r>
    <phoneticPr fontId="61" type="noConversion"/>
  </si>
  <si>
    <r>
      <rPr>
        <sz val="11"/>
        <rFont val="宋体"/>
        <charset val="134"/>
      </rPr>
      <t>月</t>
    </r>
    <phoneticPr fontId="61" type="noConversion"/>
  </si>
  <si>
    <r>
      <rPr>
        <sz val="11"/>
        <rFont val="宋体"/>
        <charset val="134"/>
      </rPr>
      <t>增值税率</t>
    </r>
  </si>
  <si>
    <r>
      <rPr>
        <sz val="11"/>
        <rFont val="宋体"/>
        <charset val="134"/>
      </rPr>
      <t>目前光伏发电项目增值税税率为</t>
    </r>
    <r>
      <rPr>
        <sz val="11"/>
        <rFont val="Times New Roman"/>
        <family val="1"/>
      </rPr>
      <t>13%</t>
    </r>
    <r>
      <rPr>
        <sz val="11"/>
        <rFont val="宋体"/>
        <charset val="134"/>
      </rPr>
      <t>，若有其他优惠政策可更改该税率。参见《风电、光伏发电项目涉税事项》</t>
    </r>
    <phoneticPr fontId="61" type="noConversion"/>
  </si>
  <si>
    <r>
      <rPr>
        <sz val="11"/>
        <rFont val="宋体"/>
        <charset val="134"/>
      </rPr>
      <t>增值税优惠享受年限</t>
    </r>
    <phoneticPr fontId="61" type="noConversion"/>
  </si>
  <si>
    <r>
      <rPr>
        <sz val="11"/>
        <rFont val="宋体"/>
        <charset val="134"/>
      </rPr>
      <t>年</t>
    </r>
    <phoneticPr fontId="61" type="noConversion"/>
  </si>
  <si>
    <r>
      <rPr>
        <sz val="11"/>
        <rFont val="宋体"/>
        <charset val="134"/>
      </rPr>
      <t>光伏发电项目即征即退享受年限，目前光伏发电项目无该政策</t>
    </r>
  </si>
  <si>
    <r>
      <rPr>
        <sz val="11"/>
        <rFont val="宋体"/>
        <charset val="134"/>
      </rPr>
      <t>城市建设维护税率</t>
    </r>
  </si>
  <si>
    <r>
      <rPr>
        <sz val="11"/>
        <rFont val="宋体"/>
        <charset val="134"/>
      </rPr>
      <t>教育费附加费率</t>
    </r>
  </si>
  <si>
    <r>
      <rPr>
        <sz val="11"/>
        <rFont val="宋体"/>
        <charset val="134"/>
      </rPr>
      <t>法定盈余公积金比率</t>
    </r>
  </si>
  <si>
    <r>
      <rPr>
        <sz val="11"/>
        <rFont val="宋体"/>
        <charset val="134"/>
      </rPr>
      <t>折旧年限</t>
    </r>
    <phoneticPr fontId="61" type="noConversion"/>
  </si>
  <si>
    <r>
      <rPr>
        <sz val="11"/>
        <rFont val="宋体"/>
        <charset val="134"/>
      </rPr>
      <t>可不调整。数据来源：预可行性研究报告或可行性研究报告</t>
    </r>
  </si>
  <si>
    <r>
      <rPr>
        <sz val="11"/>
        <rFont val="宋体"/>
        <charset val="134"/>
      </rPr>
      <t>残值率</t>
    </r>
  </si>
  <si>
    <r>
      <rPr>
        <sz val="11"/>
        <rFont val="宋体"/>
        <charset val="134"/>
      </rPr>
      <t>折旧率</t>
    </r>
  </si>
  <si>
    <r>
      <rPr>
        <sz val="11"/>
        <rFont val="宋体"/>
        <charset val="134"/>
      </rPr>
      <t>元</t>
    </r>
    <r>
      <rPr>
        <sz val="11"/>
        <rFont val="Times New Roman"/>
        <family val="1"/>
      </rPr>
      <t>/kW</t>
    </r>
    <phoneticPr fontId="61" type="noConversion"/>
  </si>
  <si>
    <r>
      <rPr>
        <sz val="11"/>
        <rFont val="宋体"/>
        <charset val="134"/>
      </rPr>
      <t>员工人数</t>
    </r>
    <phoneticPr fontId="61" type="noConversion"/>
  </si>
  <si>
    <r>
      <rPr>
        <sz val="11"/>
        <rFont val="宋体"/>
        <charset val="134"/>
      </rPr>
      <t>年均工资</t>
    </r>
  </si>
  <si>
    <r>
      <rPr>
        <sz val="11"/>
        <rFont val="宋体"/>
        <charset val="134"/>
      </rPr>
      <t>福利费率</t>
    </r>
    <phoneticPr fontId="61" type="noConversion"/>
  </si>
  <si>
    <r>
      <rPr>
        <sz val="11"/>
        <rFont val="宋体"/>
        <charset val="134"/>
      </rPr>
      <t>年其他费用费率</t>
    </r>
    <phoneticPr fontId="61" type="noConversion"/>
  </si>
  <si>
    <r>
      <rPr>
        <sz val="11"/>
        <rFont val="宋体"/>
        <charset val="134"/>
      </rPr>
      <t>年材料费费率</t>
    </r>
    <phoneticPr fontId="61" type="noConversion"/>
  </si>
  <si>
    <r>
      <rPr>
        <sz val="11"/>
        <rFont val="宋体"/>
        <charset val="134"/>
      </rPr>
      <t>年保险费费率</t>
    </r>
    <phoneticPr fontId="61" type="noConversion"/>
  </si>
  <si>
    <r>
      <rPr>
        <sz val="11"/>
        <rFont val="宋体"/>
        <charset val="134"/>
      </rPr>
      <t>首年土地租金</t>
    </r>
    <phoneticPr fontId="61" type="noConversion"/>
  </si>
  <si>
    <r>
      <rPr>
        <sz val="11"/>
        <rFont val="宋体"/>
        <charset val="134"/>
      </rPr>
      <t>自动计算</t>
    </r>
    <phoneticPr fontId="61" type="noConversion"/>
  </si>
  <si>
    <r>
      <rPr>
        <sz val="11"/>
        <rFont val="宋体"/>
        <charset val="134"/>
      </rPr>
      <t>单位占地面积</t>
    </r>
    <phoneticPr fontId="61" type="noConversion"/>
  </si>
  <si>
    <r>
      <rPr>
        <sz val="11"/>
        <rFont val="宋体"/>
        <charset val="134"/>
      </rPr>
      <t>占地面积</t>
    </r>
    <phoneticPr fontId="61" type="noConversion"/>
  </si>
  <si>
    <r>
      <rPr>
        <sz val="11"/>
        <rFont val="宋体"/>
        <charset val="134"/>
      </rPr>
      <t>亩</t>
    </r>
    <phoneticPr fontId="61" type="noConversion"/>
  </si>
  <si>
    <r>
      <rPr>
        <sz val="11"/>
        <rFont val="宋体"/>
        <charset val="134"/>
      </rPr>
      <t>首年每亩土地租金</t>
    </r>
    <phoneticPr fontId="61" type="noConversion"/>
  </si>
  <si>
    <r>
      <rPr>
        <sz val="11"/>
        <rFont val="宋体"/>
        <charset val="134"/>
      </rPr>
      <t>元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亩</t>
    </r>
    <phoneticPr fontId="61" type="noConversion"/>
  </si>
  <si>
    <r>
      <rPr>
        <sz val="11"/>
        <rFont val="宋体"/>
        <charset val="134"/>
      </rPr>
      <t>土地租金上浮率</t>
    </r>
    <phoneticPr fontId="61" type="noConversion"/>
  </si>
  <si>
    <r>
      <rPr>
        <sz val="11"/>
        <rFont val="宋体"/>
        <charset val="134"/>
      </rPr>
      <t>土地租金支付频率</t>
    </r>
    <phoneticPr fontId="61" type="noConversion"/>
  </si>
  <si>
    <r>
      <rPr>
        <sz val="11"/>
        <rFont val="宋体"/>
        <charset val="134"/>
      </rPr>
      <t>年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次</t>
    </r>
    <phoneticPr fontId="61" type="noConversion"/>
  </si>
  <si>
    <r>
      <rPr>
        <sz val="11"/>
        <rFont val="宋体"/>
        <charset val="134"/>
      </rPr>
      <t>土地租金支付（万元）</t>
    </r>
    <phoneticPr fontId="61" type="noConversion"/>
  </si>
  <si>
    <r>
      <rPr>
        <sz val="11"/>
        <rFont val="宋体"/>
        <charset val="134"/>
      </rPr>
      <t>土地租金年摊销（租金，万元）</t>
    </r>
    <phoneticPr fontId="61" type="noConversion"/>
  </si>
  <si>
    <r>
      <rPr>
        <sz val="11"/>
        <rFont val="宋体"/>
        <charset val="134"/>
      </rPr>
      <t>分红比例</t>
    </r>
    <phoneticPr fontId="61" type="noConversion"/>
  </si>
  <si>
    <r>
      <rPr>
        <sz val="11"/>
        <rFont val="宋体"/>
        <charset val="134"/>
      </rPr>
      <t>购买方基准收益率（资本金）</t>
    </r>
    <phoneticPr fontId="61" type="noConversion"/>
  </si>
  <si>
    <r>
      <rPr>
        <sz val="11"/>
        <rFont val="宋体"/>
        <charset val="134"/>
      </rPr>
      <t>参考值，购买方对项目的预期资本金财务内部收益率</t>
    </r>
    <phoneticPr fontId="61" type="noConversion"/>
  </si>
  <si>
    <r>
      <rPr>
        <sz val="11"/>
        <rFont val="宋体"/>
        <charset val="134"/>
      </rPr>
      <t>股权出售所得税税率</t>
    </r>
    <phoneticPr fontId="61" type="noConversion"/>
  </si>
  <si>
    <r>
      <rPr>
        <sz val="11"/>
        <rFont val="宋体"/>
        <charset val="134"/>
      </rPr>
      <t>参考值，项目公司股东的所得税税率</t>
    </r>
    <phoneticPr fontId="61" type="noConversion"/>
  </si>
  <si>
    <r>
      <t>EPC</t>
    </r>
    <r>
      <rPr>
        <sz val="11"/>
        <rFont val="宋体"/>
        <charset val="134"/>
      </rPr>
      <t>签约价</t>
    </r>
    <phoneticPr fontId="61" type="noConversion"/>
  </si>
  <si>
    <r>
      <rPr>
        <sz val="11"/>
        <rFont val="宋体"/>
        <charset val="134"/>
      </rPr>
      <t>参考值，含增值税</t>
    </r>
    <phoneticPr fontId="61" type="noConversion"/>
  </si>
  <si>
    <r>
      <t>EPC</t>
    </r>
    <r>
      <rPr>
        <sz val="11"/>
        <rFont val="宋体"/>
        <charset val="134"/>
      </rPr>
      <t>成本价</t>
    </r>
    <phoneticPr fontId="61" type="noConversion"/>
  </si>
  <si>
    <r>
      <rPr>
        <sz val="11"/>
        <rFont val="宋体"/>
        <charset val="134"/>
      </rPr>
      <t>参考值，含勘察设计费、项目管理费及增值税</t>
    </r>
    <phoneticPr fontId="61" type="noConversion"/>
  </si>
  <si>
    <r>
      <rPr>
        <sz val="11"/>
        <rFont val="宋体"/>
        <charset val="134"/>
      </rPr>
      <t>管理费分摊比率</t>
    </r>
    <phoneticPr fontId="61" type="noConversion"/>
  </si>
  <si>
    <r>
      <rPr>
        <sz val="11"/>
        <rFont val="宋体"/>
        <charset val="134"/>
      </rPr>
      <t>参考值，根据各单位管理费分摊比率确定（可参考上一年度财务报表）</t>
    </r>
    <phoneticPr fontId="61" type="noConversion"/>
  </si>
  <si>
    <r>
      <rPr>
        <sz val="11"/>
        <color indexed="60"/>
        <rFont val="宋体"/>
        <charset val="134"/>
      </rPr>
      <t>使用说明：填写本表中底色为绿色的单元格，主要指标计算结果见指标汇总表</t>
    </r>
    <phoneticPr fontId="61" type="noConversion"/>
  </si>
  <si>
    <t>自动计算</t>
    <phoneticPr fontId="61" type="noConversion"/>
  </si>
  <si>
    <t>参考值，计算投资方内部收益率时适用该参数</t>
    <phoneticPr fontId="61" type="noConversion"/>
  </si>
  <si>
    <t>参考值，数据来源：预可行性研究报告或可行性研究报告</t>
  </si>
  <si>
    <t>参考值，自动计算</t>
  </si>
  <si>
    <t>参考值，自动计算，假定建安工程费、设备购置费、勘察设计费可足额开具增值税发票</t>
  </si>
  <si>
    <t>参考值，根据项目情况向银行初步询价</t>
  </si>
  <si>
    <t>参考值</t>
  </si>
  <si>
    <t>参考值，具体指标见预可行性研究报告或可行性研究报告。初步估算时，可根据国土资源部《光伏发电站工程项目用地控制指标》（国土资规〔2015〕11号）选取。本部分仅含光伏阵列区用地。升压站用地默认为建设用地，其费用已包含在项目静态投资中。</t>
  </si>
  <si>
    <t>参考值，数据来源：根据与土地使用权人签订的租赁协议确定</t>
  </si>
  <si>
    <t>土地租金上浮频率</t>
    <phoneticPr fontId="61" type="noConversion"/>
  </si>
  <si>
    <r>
      <rPr>
        <sz val="11"/>
        <rFont val="宋体"/>
        <charset val="134"/>
      </rPr>
      <t>年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次</t>
    </r>
    <phoneticPr fontId="61" type="noConversion"/>
  </si>
  <si>
    <t>参考值，数据来源：根据与土地使用权人签订的租赁协议确定</t>
    <phoneticPr fontId="61" type="noConversion"/>
  </si>
  <si>
    <t>其中：耕地占用税</t>
    <phoneticPr fontId="61" type="noConversion"/>
  </si>
  <si>
    <t>参考值，耕地占用税（若有）</t>
    <phoneticPr fontId="61" type="noConversion"/>
  </si>
  <si>
    <t>城镇土地使用税</t>
    <phoneticPr fontId="61" type="noConversion"/>
  </si>
  <si>
    <r>
      <rPr>
        <sz val="11"/>
        <rFont val="宋体"/>
        <charset val="134"/>
      </rPr>
      <t>元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亩</t>
    </r>
    <phoneticPr fontId="61" type="noConversion"/>
  </si>
  <si>
    <t>城镇土地使用税税率</t>
    <phoneticPr fontId="61" type="noConversion"/>
  </si>
  <si>
    <t>征收面积</t>
    <phoneticPr fontId="61" type="noConversion"/>
  </si>
  <si>
    <t>亩</t>
    <phoneticPr fontId="61" type="noConversion"/>
  </si>
  <si>
    <t>参考值，一般在工矿区的建设用地需要征收城镇土地使用税</t>
    <phoneticPr fontId="61" type="noConversion"/>
  </si>
  <si>
    <t>城镇土地使用税</t>
    <phoneticPr fontId="61" type="noConversion"/>
  </si>
  <si>
    <t>万元</t>
    <phoneticPr fontId="61" type="noConversion"/>
  </si>
  <si>
    <t>参见《风电、光伏发电项目涉税事项》，并咨询当地税务机关。</t>
    <phoneticPr fontId="61" type="noConversion"/>
  </si>
  <si>
    <t>平价上网项目为当地煤电标杆电价（现称基准电价，含脱硫脱硝除尘，含增值税），竞价项目为含补贴电价（含增值税）</t>
    <phoneticPr fontId="61" type="noConversion"/>
  </si>
  <si>
    <t>年发电小时数</t>
    <phoneticPr fontId="61" type="noConversion"/>
  </si>
  <si>
    <t>7.3.1</t>
    <phoneticPr fontId="61" type="noConversion"/>
  </si>
  <si>
    <t>7.3.2</t>
    <phoneticPr fontId="61" type="noConversion"/>
  </si>
  <si>
    <r>
      <t>参考值，含土地征用费</t>
    </r>
    <r>
      <rPr>
        <sz val="11"/>
        <rFont val="宋体"/>
        <charset val="134"/>
      </rPr>
      <t>、临时用地租用费、迁移补偿费、余物清理费等。其中，土地征用费含土地补偿费、安置补助费、耕地占用税、耕地开垦费、勘测定界费、征地管理费、证书费、手续费等。含光伏区用地林木补偿、青苗和经济作物补偿、城市绿化补偿、建构筑物补偿等。另有森林植被恢复费（若有）、草原植被恢复费（若有）。耕地占用税要专项论证。(本数据不含光伏阵列区土地租金，光伏阵列区租金列入参数2</t>
    </r>
    <r>
      <rPr>
        <sz val="11"/>
        <rFont val="宋体"/>
        <charset val="134"/>
      </rPr>
      <t>6</t>
    </r>
    <r>
      <rPr>
        <sz val="11"/>
        <rFont val="宋体"/>
        <charset val="134"/>
      </rPr>
      <t>，首年支付的租金仍计入静态投资)</t>
    </r>
    <phoneticPr fontId="61" type="noConversion"/>
  </si>
  <si>
    <t>7.3.1.1</t>
    <phoneticPr fontId="61" type="noConversion"/>
  </si>
  <si>
    <t>参见《风电、光伏发电项目涉税事项》</t>
    <phoneticPr fontId="61" type="noConversion"/>
  </si>
  <si>
    <t>参考值，数据来源：预可行性研究报告或可行性研究报告(本数据不含光伏阵列区土地租金，光伏阵列区租金列入参数26，仍计入静态投资)</t>
    <phoneticPr fontId="61" type="noConversion"/>
  </si>
  <si>
    <t>年修理费率</t>
    <phoneticPr fontId="61" type="noConversion"/>
  </si>
  <si>
    <t>首年运维费费率</t>
    <phoneticPr fontId="61" type="noConversion"/>
  </si>
  <si>
    <t>EVA</t>
    <phoneticPr fontId="61" type="noConversion"/>
  </si>
  <si>
    <t>权益资本成本率</t>
    <phoneticPr fontId="61" type="noConversion"/>
  </si>
  <si>
    <t>参见《风电、光伏发电项目涉税事项》</t>
    <phoneticPr fontId="61" type="noConversion"/>
  </si>
  <si>
    <t>目前光伏发电项目享受所得税三免三减半优惠政策，参见《风电、光伏发电项目涉税事项》</t>
    <phoneticPr fontId="61" type="noConversion"/>
  </si>
  <si>
    <r>
      <rPr>
        <sz val="11"/>
        <rFont val="宋体"/>
        <charset val="134"/>
      </rPr>
      <t>根据《关于延续西部大开发企业所得税政策的公告》（财政部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税务总局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国家发展改革委公告</t>
    </r>
    <r>
      <rPr>
        <sz val="11"/>
        <rFont val="Times New Roman"/>
        <family val="1"/>
      </rPr>
      <t>2020</t>
    </r>
    <r>
      <rPr>
        <sz val="11"/>
        <rFont val="宋体"/>
        <charset val="134"/>
      </rPr>
      <t>年第</t>
    </r>
    <r>
      <rPr>
        <sz val="11"/>
        <rFont val="Times New Roman"/>
        <family val="1"/>
      </rPr>
      <t>23</t>
    </r>
    <r>
      <rPr>
        <sz val="11"/>
        <rFont val="宋体"/>
        <charset val="134"/>
      </rPr>
      <t>号）自</t>
    </r>
    <r>
      <rPr>
        <sz val="11"/>
        <rFont val="Times New Roman"/>
        <family val="1"/>
      </rPr>
      <t>2021</t>
    </r>
    <r>
      <rPr>
        <sz val="11"/>
        <rFont val="宋体"/>
        <charset val="134"/>
      </rPr>
      <t>年</t>
    </r>
    <r>
      <rPr>
        <sz val="11"/>
        <rFont val="Times New Roman"/>
        <family val="1"/>
      </rPr>
      <t>1</t>
    </r>
    <r>
      <rPr>
        <sz val="11"/>
        <rFont val="宋体"/>
        <charset val="134"/>
      </rPr>
      <t>月</t>
    </r>
    <r>
      <rPr>
        <sz val="11"/>
        <rFont val="Times New Roman"/>
        <family val="1"/>
      </rPr>
      <t>1</t>
    </r>
    <r>
      <rPr>
        <sz val="11"/>
        <rFont val="宋体"/>
        <charset val="134"/>
      </rPr>
      <t>日至</t>
    </r>
    <r>
      <rPr>
        <sz val="11"/>
        <rFont val="Times New Roman"/>
        <family val="1"/>
      </rPr>
      <t>2030</t>
    </r>
    <r>
      <rPr>
        <sz val="11"/>
        <rFont val="宋体"/>
        <charset val="134"/>
      </rPr>
      <t>年</t>
    </r>
    <r>
      <rPr>
        <sz val="11"/>
        <rFont val="Times New Roman"/>
        <family val="1"/>
      </rPr>
      <t>12</t>
    </r>
    <r>
      <rPr>
        <sz val="11"/>
        <rFont val="宋体"/>
        <charset val="134"/>
      </rPr>
      <t>月</t>
    </r>
    <r>
      <rPr>
        <sz val="11"/>
        <rFont val="Times New Roman"/>
        <family val="1"/>
      </rPr>
      <t>31</t>
    </r>
    <r>
      <rPr>
        <sz val="11"/>
        <rFont val="宋体"/>
        <charset val="134"/>
      </rPr>
      <t>日，对设在西部地区的鼓励类产业企业减按</t>
    </r>
    <r>
      <rPr>
        <sz val="11"/>
        <rFont val="Times New Roman"/>
        <family val="1"/>
      </rPr>
      <t>15%</t>
    </r>
    <r>
      <rPr>
        <sz val="11"/>
        <rFont val="宋体"/>
        <charset val="134"/>
      </rPr>
      <t>的税率征收企业所得税。根据《西部地区鼓励类产业目录（</t>
    </r>
    <r>
      <rPr>
        <sz val="11"/>
        <rFont val="Times New Roman"/>
        <family val="1"/>
      </rPr>
      <t>2014</t>
    </r>
    <r>
      <rPr>
        <sz val="11"/>
        <rFont val="宋体"/>
        <charset val="134"/>
      </rPr>
      <t>年修订版）》，甘肃省、青海省、宁夏回族自治区、新疆维吾尔自治区、内蒙古自治区鼓励产业目录含风力发电场建设及运营、太阳能发电系统建设及运营，可享受</t>
    </r>
    <r>
      <rPr>
        <sz val="11"/>
        <rFont val="Times New Roman"/>
        <family val="1"/>
      </rPr>
      <t>15%</t>
    </r>
    <r>
      <rPr>
        <sz val="11"/>
        <rFont val="宋体"/>
        <charset val="134"/>
      </rPr>
      <t>的所得税税率。参见《风电、光伏发电项目涉税事项》</t>
    </r>
    <phoneticPr fontId="61" type="noConversion"/>
  </si>
  <si>
    <t>西部大开发优惠所得税税率</t>
    <phoneticPr fontId="61" type="noConversion"/>
  </si>
  <si>
    <t>否</t>
  </si>
  <si>
    <t>万亩</t>
    <phoneticPr fontId="61" type="noConversion"/>
  </si>
  <si>
    <r>
      <rPr>
        <sz val="16"/>
        <rFont val="仿宋"/>
        <family val="3"/>
        <charset val="134"/>
      </rPr>
      <t>工程概况及关键指标表</t>
    </r>
  </si>
  <si>
    <r>
      <rPr>
        <sz val="11"/>
        <rFont val="仿宋"/>
        <family val="3"/>
        <charset val="134"/>
      </rPr>
      <t>序号</t>
    </r>
  </si>
  <si>
    <r>
      <rPr>
        <sz val="11"/>
        <rFont val="仿宋"/>
        <family val="3"/>
        <charset val="134"/>
      </rPr>
      <t>名</t>
    </r>
    <r>
      <rPr>
        <sz val="11"/>
        <rFont val="Times New Roman"/>
        <family val="1"/>
      </rPr>
      <t xml:space="preserve">               </t>
    </r>
    <r>
      <rPr>
        <sz val="11"/>
        <rFont val="仿宋"/>
        <family val="3"/>
        <charset val="134"/>
      </rPr>
      <t>称</t>
    </r>
  </si>
  <si>
    <r>
      <rPr>
        <sz val="11"/>
        <rFont val="仿宋"/>
        <family val="3"/>
        <charset val="134"/>
      </rPr>
      <t>指标</t>
    </r>
  </si>
  <si>
    <r>
      <rPr>
        <sz val="11"/>
        <rFont val="仿宋"/>
        <family val="3"/>
        <charset val="134"/>
      </rPr>
      <t>单位</t>
    </r>
  </si>
  <si>
    <r>
      <rPr>
        <sz val="11"/>
        <rFont val="仿宋"/>
        <family val="3"/>
        <charset val="134"/>
      </rPr>
      <t>装机容量</t>
    </r>
  </si>
  <si>
    <r>
      <rPr>
        <sz val="11"/>
        <rFont val="仿宋"/>
        <family val="3"/>
        <charset val="134"/>
      </rPr>
      <t>万</t>
    </r>
    <r>
      <rPr>
        <sz val="11"/>
        <rFont val="Times New Roman"/>
        <family val="1"/>
      </rPr>
      <t>kW</t>
    </r>
  </si>
  <si>
    <r>
      <rPr>
        <sz val="11"/>
        <rFont val="仿宋"/>
        <family val="3"/>
        <charset val="134"/>
      </rPr>
      <t>年发电量</t>
    </r>
  </si>
  <si>
    <r>
      <rPr>
        <sz val="11"/>
        <rFont val="仿宋"/>
        <family val="3"/>
        <charset val="134"/>
      </rPr>
      <t>万</t>
    </r>
    <r>
      <rPr>
        <sz val="11"/>
        <rFont val="Times New Roman"/>
        <family val="1"/>
      </rPr>
      <t>kWh</t>
    </r>
  </si>
  <si>
    <r>
      <rPr>
        <sz val="11"/>
        <rFont val="仿宋"/>
        <family val="3"/>
        <charset val="134"/>
      </rPr>
      <t>单位千瓦投资（静态）</t>
    </r>
  </si>
  <si>
    <r>
      <rPr>
        <sz val="11"/>
        <rFont val="仿宋"/>
        <family val="3"/>
        <charset val="134"/>
      </rPr>
      <t>元</t>
    </r>
    <r>
      <rPr>
        <sz val="11"/>
        <rFont val="Times New Roman"/>
        <family val="1"/>
      </rPr>
      <t>/kw</t>
    </r>
  </si>
  <si>
    <r>
      <rPr>
        <sz val="11"/>
        <rFont val="仿宋"/>
        <family val="3"/>
        <charset val="134"/>
      </rPr>
      <t>静态投资</t>
    </r>
    <phoneticPr fontId="61" type="noConversion"/>
  </si>
  <si>
    <r>
      <rPr>
        <sz val="11"/>
        <rFont val="仿宋"/>
        <family val="3"/>
        <charset val="134"/>
      </rPr>
      <t>万元</t>
    </r>
  </si>
  <si>
    <r>
      <rPr>
        <sz val="11"/>
        <rFont val="仿宋"/>
        <family val="3"/>
        <charset val="134"/>
      </rPr>
      <t>资本金比例设定</t>
    </r>
  </si>
  <si>
    <r>
      <rPr>
        <sz val="11"/>
        <rFont val="仿宋"/>
        <family val="3"/>
        <charset val="134"/>
      </rPr>
      <t>动态投资</t>
    </r>
    <phoneticPr fontId="61" type="noConversion"/>
  </si>
  <si>
    <r>
      <rPr>
        <sz val="11"/>
        <rFont val="仿宋"/>
        <family val="3"/>
        <charset val="134"/>
      </rPr>
      <t>含税上网电价</t>
    </r>
  </si>
  <si>
    <r>
      <rPr>
        <sz val="11"/>
        <rFont val="仿宋"/>
        <family val="3"/>
        <charset val="134"/>
      </rPr>
      <t>元</t>
    </r>
    <r>
      <rPr>
        <sz val="11"/>
        <rFont val="Times New Roman"/>
        <family val="1"/>
      </rPr>
      <t>/kW·h</t>
    </r>
  </si>
  <si>
    <r>
      <rPr>
        <sz val="11"/>
        <rFont val="仿宋"/>
        <family val="3"/>
        <charset val="134"/>
      </rPr>
      <t>年发电小时数</t>
    </r>
  </si>
  <si>
    <r>
      <rPr>
        <sz val="11"/>
        <rFont val="仿宋"/>
        <family val="3"/>
        <charset val="134"/>
      </rPr>
      <t>小时</t>
    </r>
  </si>
  <si>
    <r>
      <rPr>
        <b/>
        <sz val="11"/>
        <rFont val="仿宋"/>
        <family val="3"/>
        <charset val="134"/>
      </rPr>
      <t>盈利能力指标</t>
    </r>
  </si>
  <si>
    <r>
      <rPr>
        <sz val="11"/>
        <rFont val="仿宋"/>
        <family val="3"/>
        <charset val="134"/>
      </rPr>
      <t>单位电度投资（动态）</t>
    </r>
  </si>
  <si>
    <r>
      <rPr>
        <sz val="11"/>
        <rFont val="仿宋"/>
        <family val="3"/>
        <charset val="134"/>
      </rPr>
      <t>元</t>
    </r>
    <r>
      <rPr>
        <sz val="11"/>
        <rFont val="Times New Roman"/>
        <family val="1"/>
      </rPr>
      <t>/kwh</t>
    </r>
  </si>
  <si>
    <r>
      <rPr>
        <sz val="11"/>
        <rFont val="仿宋"/>
        <family val="3"/>
        <charset val="134"/>
      </rPr>
      <t>项目投资财务内部收益率（所得税前）</t>
    </r>
  </si>
  <si>
    <r>
      <rPr>
        <b/>
        <sz val="11"/>
        <rFont val="仿宋"/>
        <family val="3"/>
        <charset val="134"/>
      </rPr>
      <t>经营指标</t>
    </r>
  </si>
  <si>
    <r>
      <rPr>
        <sz val="11"/>
        <rFont val="仿宋"/>
        <family val="3"/>
        <charset val="134"/>
      </rPr>
      <t>资本金财务内部收益率（所得税后）</t>
    </r>
  </si>
  <si>
    <r>
      <rPr>
        <sz val="11"/>
        <rFont val="仿宋"/>
        <family val="3"/>
        <charset val="134"/>
      </rPr>
      <t>年均经营成本</t>
    </r>
  </si>
  <si>
    <r>
      <rPr>
        <b/>
        <sz val="11"/>
        <rFont val="仿宋"/>
        <family val="3"/>
        <charset val="134"/>
      </rPr>
      <t>偿债能力指标</t>
    </r>
  </si>
  <si>
    <r>
      <rPr>
        <sz val="11"/>
        <rFont val="仿宋"/>
        <family val="3"/>
        <charset val="134"/>
      </rPr>
      <t>单位电度经营成本</t>
    </r>
  </si>
  <si>
    <r>
      <rPr>
        <sz val="11"/>
        <rFont val="仿宋"/>
        <family val="3"/>
        <charset val="134"/>
      </rPr>
      <t>最大资产负债率</t>
    </r>
  </si>
  <si>
    <r>
      <rPr>
        <sz val="11"/>
        <rFont val="仿宋"/>
        <family val="3"/>
        <charset val="134"/>
      </rPr>
      <t>单位千瓦经营成本</t>
    </r>
  </si>
  <si>
    <r>
      <rPr>
        <sz val="11"/>
        <rFont val="仿宋"/>
        <family val="3"/>
        <charset val="134"/>
      </rPr>
      <t>元</t>
    </r>
    <r>
      <rPr>
        <sz val="11"/>
        <rFont val="Times New Roman"/>
        <family val="1"/>
      </rPr>
      <t>/kW</t>
    </r>
  </si>
  <si>
    <r>
      <rPr>
        <sz val="11"/>
        <rFont val="仿宋"/>
        <family val="3"/>
        <charset val="134"/>
      </rPr>
      <t>累计最大短期借款</t>
    </r>
  </si>
  <si>
    <r>
      <rPr>
        <sz val="11"/>
        <rFont val="仿宋"/>
        <family val="3"/>
        <charset val="134"/>
      </rPr>
      <t>贷款还贷年限（不含建设期）</t>
    </r>
    <phoneticPr fontId="61" type="noConversion"/>
  </si>
  <si>
    <r>
      <rPr>
        <sz val="11"/>
        <rFont val="仿宋"/>
        <family val="3"/>
        <charset val="134"/>
      </rPr>
      <t>年</t>
    </r>
  </si>
  <si>
    <r>
      <rPr>
        <sz val="16"/>
        <rFont val="仿宋"/>
        <family val="3"/>
        <charset val="134"/>
      </rPr>
      <t>财务指标汇总表</t>
    </r>
    <phoneticPr fontId="61" type="noConversion"/>
  </si>
  <si>
    <r>
      <rPr>
        <sz val="11"/>
        <rFont val="仿宋"/>
        <family val="3"/>
        <charset val="134"/>
      </rPr>
      <t>项目投资回收期</t>
    </r>
  </si>
  <si>
    <r>
      <rPr>
        <sz val="11"/>
        <rFont val="仿宋"/>
        <family val="3"/>
        <charset val="134"/>
      </rPr>
      <t>总投资</t>
    </r>
  </si>
  <si>
    <r>
      <rPr>
        <sz val="11"/>
        <rFont val="仿宋"/>
        <family val="3"/>
        <charset val="134"/>
      </rPr>
      <t>建设期利息</t>
    </r>
  </si>
  <si>
    <r>
      <rPr>
        <sz val="11"/>
        <rFont val="仿宋"/>
        <family val="3"/>
        <charset val="134"/>
      </rPr>
      <t>项目投资财务净现值（所得税前</t>
    </r>
    <r>
      <rPr>
        <sz val="11"/>
        <rFont val="Times New Roman"/>
        <family val="1"/>
      </rPr>
      <t xml:space="preserve"> ic=5%</t>
    </r>
    <r>
      <rPr>
        <sz val="11"/>
        <rFont val="仿宋"/>
        <family val="3"/>
        <charset val="134"/>
      </rPr>
      <t>）</t>
    </r>
  </si>
  <si>
    <r>
      <rPr>
        <sz val="11"/>
        <rFont val="仿宋"/>
        <family val="3"/>
        <charset val="134"/>
      </rPr>
      <t>流动资金</t>
    </r>
  </si>
  <si>
    <r>
      <rPr>
        <sz val="11"/>
        <rFont val="仿宋"/>
        <family val="3"/>
        <charset val="134"/>
      </rPr>
      <t>财务内部收益率（所得税后）</t>
    </r>
  </si>
  <si>
    <r>
      <rPr>
        <sz val="11"/>
        <rFont val="仿宋"/>
        <family val="3"/>
        <charset val="134"/>
      </rPr>
      <t>电价</t>
    </r>
  </si>
  <si>
    <r>
      <t xml:space="preserve">                 </t>
    </r>
    <r>
      <rPr>
        <sz val="11"/>
        <rFont val="仿宋"/>
        <family val="3"/>
        <charset val="134"/>
      </rPr>
      <t>项目投资</t>
    </r>
  </si>
  <si>
    <r>
      <rPr>
        <sz val="11"/>
        <rFont val="仿宋"/>
        <family val="3"/>
        <charset val="134"/>
      </rPr>
      <t>上网电价（不含增值税）</t>
    </r>
  </si>
  <si>
    <r>
      <rPr>
        <sz val="11"/>
        <rFont val="仿宋"/>
        <family val="3"/>
        <charset val="134"/>
      </rPr>
      <t>元</t>
    </r>
    <r>
      <rPr>
        <sz val="11"/>
        <rFont val="Times New Roman"/>
        <family val="1"/>
      </rPr>
      <t>/kW·h</t>
    </r>
    <phoneticPr fontId="61" type="noConversion"/>
  </si>
  <si>
    <r>
      <t xml:space="preserve">                 </t>
    </r>
    <r>
      <rPr>
        <sz val="11"/>
        <rFont val="仿宋"/>
        <family val="3"/>
        <charset val="134"/>
      </rPr>
      <t>资本金</t>
    </r>
  </si>
  <si>
    <r>
      <rPr>
        <sz val="11"/>
        <rFont val="仿宋"/>
        <family val="3"/>
        <charset val="134"/>
      </rPr>
      <t>上网电价（含增值税）</t>
    </r>
  </si>
  <si>
    <r>
      <rPr>
        <sz val="11"/>
        <rFont val="仿宋"/>
        <family val="3"/>
        <charset val="134"/>
      </rPr>
      <t>元</t>
    </r>
    <r>
      <rPr>
        <sz val="11"/>
        <rFont val="Times New Roman"/>
        <family val="1"/>
      </rPr>
      <t>/kW·h</t>
    </r>
    <phoneticPr fontId="61" type="noConversion"/>
  </si>
  <si>
    <r>
      <t xml:space="preserve">                 </t>
    </r>
    <r>
      <rPr>
        <sz val="11"/>
        <rFont val="仿宋"/>
        <family val="3"/>
        <charset val="134"/>
      </rPr>
      <t>投资方</t>
    </r>
  </si>
  <si>
    <r>
      <rPr>
        <sz val="11"/>
        <rFont val="仿宋"/>
        <family val="3"/>
        <charset val="134"/>
      </rPr>
      <t>财务净现值（所得税后）</t>
    </r>
  </si>
  <si>
    <r>
      <rPr>
        <sz val="11"/>
        <rFont val="仿宋"/>
        <family val="3"/>
        <charset val="134"/>
      </rPr>
      <t>发电销售收入总额</t>
    </r>
  </si>
  <si>
    <r>
      <t xml:space="preserve">                 </t>
    </r>
    <r>
      <rPr>
        <sz val="11"/>
        <rFont val="仿宋"/>
        <family val="3"/>
        <charset val="134"/>
      </rPr>
      <t>项目投资（</t>
    </r>
    <r>
      <rPr>
        <sz val="11"/>
        <rFont val="Times New Roman"/>
        <family val="1"/>
      </rPr>
      <t>ic=5%</t>
    </r>
    <r>
      <rPr>
        <sz val="11"/>
        <rFont val="仿宋"/>
        <family val="3"/>
        <charset val="134"/>
      </rPr>
      <t>）</t>
    </r>
  </si>
  <si>
    <r>
      <rPr>
        <sz val="11"/>
        <rFont val="仿宋"/>
        <family val="3"/>
        <charset val="134"/>
      </rPr>
      <t>总成本费用总额</t>
    </r>
  </si>
  <si>
    <r>
      <t xml:space="preserve">                 </t>
    </r>
    <r>
      <rPr>
        <sz val="11"/>
        <rFont val="仿宋"/>
        <family val="3"/>
        <charset val="134"/>
      </rPr>
      <t>资本金（</t>
    </r>
    <r>
      <rPr>
        <sz val="11"/>
        <rFont val="Times New Roman"/>
        <family val="1"/>
      </rPr>
      <t>ic=8%</t>
    </r>
    <r>
      <rPr>
        <sz val="11"/>
        <rFont val="仿宋"/>
        <family val="3"/>
        <charset val="134"/>
      </rPr>
      <t>）</t>
    </r>
  </si>
  <si>
    <r>
      <rPr>
        <sz val="11"/>
        <rFont val="仿宋"/>
        <family val="3"/>
        <charset val="134"/>
      </rPr>
      <t>销售税金附加总额</t>
    </r>
  </si>
  <si>
    <r>
      <t xml:space="preserve">                 </t>
    </r>
    <r>
      <rPr>
        <sz val="11"/>
        <rFont val="仿宋"/>
        <family val="3"/>
        <charset val="134"/>
      </rPr>
      <t>投资方（</t>
    </r>
    <r>
      <rPr>
        <sz val="11"/>
        <rFont val="Times New Roman"/>
        <family val="1"/>
      </rPr>
      <t>ic=8%</t>
    </r>
    <r>
      <rPr>
        <sz val="11"/>
        <rFont val="仿宋"/>
        <family val="3"/>
        <charset val="134"/>
      </rPr>
      <t>）</t>
    </r>
  </si>
  <si>
    <r>
      <rPr>
        <sz val="11"/>
        <rFont val="仿宋"/>
        <family val="3"/>
        <charset val="134"/>
      </rPr>
      <t>发电利润总额</t>
    </r>
  </si>
  <si>
    <r>
      <rPr>
        <sz val="11"/>
        <rFont val="仿宋"/>
        <family val="3"/>
        <charset val="134"/>
      </rPr>
      <t>投资利润率（生产期平均）</t>
    </r>
  </si>
  <si>
    <r>
      <rPr>
        <sz val="11"/>
        <rFont val="仿宋"/>
        <family val="3"/>
        <charset val="134"/>
      </rPr>
      <t>投资利税率（生产期平均）</t>
    </r>
  </si>
  <si>
    <r>
      <rPr>
        <sz val="11"/>
        <rFont val="仿宋"/>
        <family val="3"/>
        <charset val="134"/>
      </rPr>
      <t>资本金净利润率</t>
    </r>
  </si>
  <si>
    <r>
      <rPr>
        <b/>
        <sz val="11"/>
        <rFont val="仿宋"/>
        <family val="3"/>
        <charset val="134"/>
      </rPr>
      <t>其他指标</t>
    </r>
  </si>
  <si>
    <r>
      <rPr>
        <sz val="11"/>
        <rFont val="仿宋"/>
        <family val="3"/>
        <charset val="134"/>
      </rPr>
      <t>最大累计亏损额</t>
    </r>
  </si>
  <si>
    <r>
      <rPr>
        <sz val="11"/>
        <rFont val="仿宋"/>
        <family val="3"/>
        <charset val="134"/>
      </rPr>
      <t>元</t>
    </r>
    <r>
      <rPr>
        <sz val="11"/>
        <rFont val="Times New Roman"/>
        <family val="1"/>
      </rPr>
      <t>/KW</t>
    </r>
  </si>
  <si>
    <r>
      <rPr>
        <sz val="11"/>
        <rFont val="仿宋"/>
        <family val="3"/>
        <charset val="134"/>
      </rPr>
      <t>资本金比例</t>
    </r>
  </si>
  <si>
    <r>
      <rPr>
        <sz val="11"/>
        <rFont val="仿宋"/>
        <family val="3"/>
        <charset val="134"/>
      </rPr>
      <t>长期借款还贷年限（不含建设期）</t>
    </r>
    <phoneticPr fontId="61" type="noConversion"/>
  </si>
  <si>
    <r>
      <rPr>
        <b/>
        <sz val="11"/>
        <rFont val="仿宋"/>
        <family val="3"/>
        <charset val="134"/>
      </rPr>
      <t>股权出售净利润</t>
    </r>
    <phoneticPr fontId="61" type="noConversion"/>
  </si>
  <si>
    <r>
      <rPr>
        <sz val="11"/>
        <rFont val="仿宋"/>
        <family val="3"/>
        <charset val="134"/>
      </rPr>
      <t>全部贷款还贷年限（不含建设期）</t>
    </r>
    <phoneticPr fontId="61" type="noConversion"/>
  </si>
  <si>
    <r>
      <rPr>
        <sz val="11"/>
        <rFont val="仿宋"/>
        <family val="3"/>
        <charset val="134"/>
      </rPr>
      <t>资本金出资额</t>
    </r>
    <phoneticPr fontId="61" type="noConversion"/>
  </si>
  <si>
    <r>
      <rPr>
        <sz val="11"/>
        <rFont val="仿宋"/>
        <family val="3"/>
        <charset val="134"/>
      </rPr>
      <t>万元</t>
    </r>
    <phoneticPr fontId="61" type="noConversion"/>
  </si>
  <si>
    <r>
      <rPr>
        <sz val="11"/>
        <rFont val="仿宋"/>
        <family val="3"/>
        <charset val="134"/>
      </rPr>
      <t>利息备付率（平均）</t>
    </r>
  </si>
  <si>
    <r>
      <rPr>
        <sz val="11"/>
        <rFont val="仿宋"/>
        <family val="3"/>
        <charset val="134"/>
      </rPr>
      <t>电站转让净利润</t>
    </r>
    <phoneticPr fontId="61" type="noConversion"/>
  </si>
  <si>
    <r>
      <rPr>
        <sz val="11"/>
        <rFont val="仿宋"/>
        <family val="3"/>
        <charset val="134"/>
      </rPr>
      <t>万元</t>
    </r>
    <phoneticPr fontId="61" type="noConversion"/>
  </si>
  <si>
    <r>
      <rPr>
        <sz val="11"/>
        <rFont val="仿宋"/>
        <family val="3"/>
        <charset val="134"/>
      </rPr>
      <t>偿债备付率（平均）</t>
    </r>
    <phoneticPr fontId="61" type="noConversion"/>
  </si>
  <si>
    <r>
      <rPr>
        <sz val="11"/>
        <rFont val="仿宋"/>
        <family val="3"/>
        <charset val="134"/>
      </rPr>
      <t>电站转让净利润</t>
    </r>
    <r>
      <rPr>
        <sz val="11"/>
        <rFont val="Times New Roman"/>
        <family val="1"/>
      </rPr>
      <t>+EPC</t>
    </r>
    <r>
      <rPr>
        <sz val="11"/>
        <rFont val="仿宋"/>
        <family val="3"/>
        <charset val="134"/>
      </rPr>
      <t>净利润</t>
    </r>
    <phoneticPr fontId="61" type="noConversion"/>
  </si>
  <si>
    <r>
      <rPr>
        <sz val="11"/>
        <rFont val="仿宋"/>
        <family val="3"/>
        <charset val="134"/>
      </rPr>
      <t>万元</t>
    </r>
    <phoneticPr fontId="61" type="noConversion"/>
  </si>
  <si>
    <r>
      <t>GDP</t>
    </r>
    <r>
      <rPr>
        <sz val="11"/>
        <rFont val="仿宋"/>
        <family val="3"/>
        <charset val="134"/>
      </rPr>
      <t>测算</t>
    </r>
    <phoneticPr fontId="61" type="noConversion"/>
  </si>
  <si>
    <r>
      <rPr>
        <sz val="11"/>
        <rFont val="仿宋"/>
        <family val="3"/>
        <charset val="134"/>
      </rPr>
      <t>税收和环保效益测算</t>
    </r>
    <phoneticPr fontId="61" type="noConversion"/>
  </si>
  <si>
    <r>
      <rPr>
        <sz val="11"/>
        <rFont val="仿宋"/>
        <family val="3"/>
        <charset val="134"/>
      </rPr>
      <t>序号</t>
    </r>
    <phoneticPr fontId="61" type="noConversion"/>
  </si>
  <si>
    <r>
      <rPr>
        <sz val="11"/>
        <rFont val="仿宋"/>
        <family val="3"/>
        <charset val="134"/>
      </rPr>
      <t>名称</t>
    </r>
    <phoneticPr fontId="61" type="noConversion"/>
  </si>
  <si>
    <r>
      <rPr>
        <sz val="11"/>
        <rFont val="仿宋"/>
        <family val="3"/>
        <charset val="134"/>
      </rPr>
      <t>指标</t>
    </r>
    <phoneticPr fontId="61" type="noConversion"/>
  </si>
  <si>
    <r>
      <rPr>
        <sz val="11"/>
        <rFont val="仿宋"/>
        <family val="3"/>
        <charset val="134"/>
      </rPr>
      <t>单位</t>
    </r>
    <phoneticPr fontId="61" type="noConversion"/>
  </si>
  <si>
    <r>
      <rPr>
        <sz val="11"/>
        <rFont val="仿宋"/>
        <family val="3"/>
        <charset val="134"/>
      </rPr>
      <t>序号</t>
    </r>
    <phoneticPr fontId="61" type="noConversion"/>
  </si>
  <si>
    <r>
      <rPr>
        <sz val="11"/>
        <rFont val="仿宋"/>
        <family val="3"/>
        <charset val="134"/>
      </rPr>
      <t>名称</t>
    </r>
    <phoneticPr fontId="61" type="noConversion"/>
  </si>
  <si>
    <r>
      <rPr>
        <sz val="11"/>
        <rFont val="仿宋"/>
        <family val="3"/>
        <charset val="134"/>
      </rPr>
      <t>指标</t>
    </r>
    <phoneticPr fontId="61" type="noConversion"/>
  </si>
  <si>
    <r>
      <rPr>
        <sz val="11"/>
        <rFont val="仿宋"/>
        <family val="3"/>
        <charset val="134"/>
      </rPr>
      <t>单位</t>
    </r>
    <phoneticPr fontId="61" type="noConversion"/>
  </si>
  <si>
    <r>
      <rPr>
        <sz val="11"/>
        <rFont val="仿宋"/>
        <family val="3"/>
        <charset val="134"/>
      </rPr>
      <t>工资福利</t>
    </r>
  </si>
  <si>
    <r>
      <rPr>
        <sz val="11"/>
        <rFont val="仿宋"/>
        <family val="3"/>
        <charset val="134"/>
      </rPr>
      <t>固定资产折旧</t>
    </r>
  </si>
  <si>
    <r>
      <rPr>
        <sz val="11"/>
        <rFont val="仿宋"/>
        <family val="3"/>
        <charset val="134"/>
      </rPr>
      <t>万元</t>
    </r>
    <phoneticPr fontId="61" type="noConversion"/>
  </si>
  <si>
    <r>
      <rPr>
        <sz val="11"/>
        <rFont val="仿宋"/>
        <family val="3"/>
        <charset val="134"/>
      </rPr>
      <t>所得税金额</t>
    </r>
    <phoneticPr fontId="61" type="noConversion"/>
  </si>
  <si>
    <r>
      <rPr>
        <sz val="11"/>
        <rFont val="仿宋"/>
        <family val="3"/>
        <charset val="134"/>
      </rPr>
      <t>万元</t>
    </r>
    <phoneticPr fontId="61" type="noConversion"/>
  </si>
  <si>
    <r>
      <rPr>
        <sz val="11"/>
        <rFont val="仿宋"/>
        <family val="3"/>
        <charset val="134"/>
      </rPr>
      <t>生产税（增值税、增值税附加税等）金额</t>
    </r>
    <phoneticPr fontId="61" type="noConversion"/>
  </si>
  <si>
    <r>
      <rPr>
        <sz val="11"/>
        <rFont val="仿宋"/>
        <family val="3"/>
        <charset val="134"/>
      </rPr>
      <t>项目生命周期内税收合计（不含耕地占用税等建设期税收）</t>
    </r>
    <phoneticPr fontId="61" type="noConversion"/>
  </si>
  <si>
    <r>
      <rPr>
        <sz val="11"/>
        <rFont val="仿宋"/>
        <family val="3"/>
        <charset val="134"/>
      </rPr>
      <t>利润总额</t>
    </r>
  </si>
  <si>
    <r>
      <rPr>
        <sz val="11"/>
        <rFont val="仿宋"/>
        <family val="3"/>
        <charset val="134"/>
      </rPr>
      <t>标准煤耗</t>
    </r>
    <phoneticPr fontId="61" type="noConversion"/>
  </si>
  <si>
    <r>
      <rPr>
        <sz val="11"/>
        <rFont val="仿宋"/>
        <family val="3"/>
        <charset val="134"/>
      </rPr>
      <t>克</t>
    </r>
    <r>
      <rPr>
        <sz val="11"/>
        <rFont val="Times New Roman"/>
        <family val="1"/>
      </rPr>
      <t>/kWh</t>
    </r>
    <phoneticPr fontId="61" type="noConversion"/>
  </si>
  <si>
    <r>
      <rPr>
        <sz val="11"/>
        <rFont val="仿宋"/>
        <family val="3"/>
        <charset val="134"/>
      </rPr>
      <t>利息</t>
    </r>
    <phoneticPr fontId="61" type="noConversion"/>
  </si>
  <si>
    <r>
      <rPr>
        <sz val="11"/>
        <rFont val="仿宋"/>
        <family val="3"/>
        <charset val="134"/>
      </rPr>
      <t>减少标准煤耗</t>
    </r>
    <phoneticPr fontId="61" type="noConversion"/>
  </si>
  <si>
    <r>
      <rPr>
        <sz val="11"/>
        <rFont val="仿宋"/>
        <family val="3"/>
        <charset val="134"/>
      </rPr>
      <t>万吨</t>
    </r>
    <r>
      <rPr>
        <sz val="11"/>
        <rFont val="Times New Roman"/>
        <family val="1"/>
      </rPr>
      <t>/</t>
    </r>
    <r>
      <rPr>
        <sz val="11"/>
        <rFont val="仿宋"/>
        <family val="3"/>
        <charset val="134"/>
      </rPr>
      <t>年</t>
    </r>
    <phoneticPr fontId="61" type="noConversion"/>
  </si>
  <si>
    <r>
      <rPr>
        <sz val="11"/>
        <rFont val="仿宋"/>
        <family val="3"/>
        <charset val="134"/>
      </rPr>
      <t>运营期</t>
    </r>
    <r>
      <rPr>
        <sz val="11"/>
        <rFont val="Times New Roman"/>
        <family val="1"/>
      </rPr>
      <t>GDP</t>
    </r>
  </si>
  <si>
    <r>
      <rPr>
        <sz val="11"/>
        <rFont val="仿宋"/>
        <family val="3"/>
        <charset val="134"/>
      </rPr>
      <t>减少二氧化碳排放</t>
    </r>
    <phoneticPr fontId="61" type="noConversion"/>
  </si>
  <si>
    <r>
      <rPr>
        <sz val="11"/>
        <rFont val="仿宋"/>
        <family val="3"/>
        <charset val="134"/>
      </rPr>
      <t>固定资本形成总额</t>
    </r>
  </si>
  <si>
    <r>
      <rPr>
        <sz val="11"/>
        <rFont val="仿宋"/>
        <family val="3"/>
        <charset val="134"/>
      </rPr>
      <t>建设期地方产品和服务的采购比例</t>
    </r>
    <phoneticPr fontId="61" type="noConversion"/>
  </si>
  <si>
    <r>
      <rPr>
        <sz val="11"/>
        <rFont val="仿宋"/>
        <family val="3"/>
        <charset val="134"/>
      </rPr>
      <t>建设期</t>
    </r>
    <r>
      <rPr>
        <sz val="11"/>
        <rFont val="Times New Roman"/>
        <family val="1"/>
      </rPr>
      <t>GDP</t>
    </r>
    <phoneticPr fontId="61" type="noConversion"/>
  </si>
  <si>
    <r>
      <rPr>
        <sz val="11"/>
        <rFont val="仿宋"/>
        <family val="3"/>
        <charset val="134"/>
      </rPr>
      <t>土地租金</t>
    </r>
    <phoneticPr fontId="61" type="noConversion"/>
  </si>
  <si>
    <r>
      <rPr>
        <sz val="11"/>
        <rFont val="仿宋"/>
        <family val="3"/>
        <charset val="134"/>
      </rPr>
      <t>万元</t>
    </r>
    <phoneticPr fontId="61" type="noConversion"/>
  </si>
  <si>
    <r>
      <rPr>
        <sz val="11"/>
        <rFont val="仿宋"/>
        <family val="3"/>
        <charset val="134"/>
      </rPr>
      <t>项目生命周期内产生的地区生产总值（</t>
    </r>
    <r>
      <rPr>
        <sz val="11"/>
        <rFont val="Times New Roman"/>
        <family val="1"/>
      </rPr>
      <t>GDP</t>
    </r>
    <r>
      <rPr>
        <sz val="11"/>
        <rFont val="仿宋"/>
        <family val="3"/>
        <charset val="134"/>
      </rPr>
      <t>）</t>
    </r>
    <phoneticPr fontId="61" type="noConversion"/>
  </si>
  <si>
    <t>相当于同等二氧化碳减排量的造林面积</t>
    <phoneticPr fontId="61" type="noConversion"/>
  </si>
  <si>
    <r>
      <t>tCO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e/</t>
    </r>
    <r>
      <rPr>
        <sz val="11"/>
        <rFont val="仿宋"/>
        <family val="3"/>
        <charset val="134"/>
      </rPr>
      <t>（亩</t>
    </r>
    <r>
      <rPr>
        <sz val="11"/>
        <rFont val="Times New Roman"/>
        <family val="1"/>
      </rPr>
      <t>·</t>
    </r>
    <r>
      <rPr>
        <sz val="11"/>
        <rFont val="仿宋"/>
        <family val="3"/>
        <charset val="134"/>
      </rPr>
      <t>年）</t>
    </r>
    <phoneticPr fontId="61" type="noConversion"/>
  </si>
  <si>
    <r>
      <rPr>
        <sz val="11"/>
        <rFont val="仿宋"/>
        <family val="3"/>
        <charset val="134"/>
      </rPr>
      <t>附近区域碳汇造林项目（</t>
    </r>
    <r>
      <rPr>
        <sz val="11"/>
        <rFont val="Times New Roman"/>
        <family val="1"/>
      </rPr>
      <t>PDD</t>
    </r>
    <r>
      <rPr>
        <sz val="11"/>
        <rFont val="仿宋"/>
        <family val="3"/>
        <charset val="134"/>
      </rPr>
      <t>）的碳汇强度，可百度检索附近区域</t>
    </r>
    <r>
      <rPr>
        <sz val="11"/>
        <rFont val="Times New Roman"/>
        <family val="1"/>
      </rPr>
      <t>PDD</t>
    </r>
    <r>
      <rPr>
        <sz val="11"/>
        <rFont val="仿宋"/>
        <family val="3"/>
        <charset val="134"/>
      </rPr>
      <t>项目，如查找关键词</t>
    </r>
    <r>
      <rPr>
        <sz val="11"/>
        <rFont val="Times New Roman"/>
        <family val="1"/>
      </rPr>
      <t>“</t>
    </r>
    <r>
      <rPr>
        <sz val="11"/>
        <rFont val="仿宋"/>
        <family val="3"/>
        <charset val="134"/>
      </rPr>
      <t>广东</t>
    </r>
    <r>
      <rPr>
        <sz val="11"/>
        <rFont val="Times New Roman"/>
        <family val="1"/>
      </rPr>
      <t xml:space="preserve"> </t>
    </r>
    <r>
      <rPr>
        <sz val="11"/>
        <rFont val="仿宋"/>
        <family val="3"/>
        <charset val="134"/>
      </rPr>
      <t>造林</t>
    </r>
    <r>
      <rPr>
        <sz val="11"/>
        <rFont val="Times New Roman"/>
        <family val="1"/>
      </rPr>
      <t xml:space="preserve"> PDD”</t>
    </r>
    <r>
      <rPr>
        <sz val="11"/>
        <rFont val="仿宋"/>
        <family val="3"/>
        <charset val="134"/>
      </rPr>
      <t>等</t>
    </r>
    <phoneticPr fontId="61" type="noConversion"/>
  </si>
  <si>
    <t>首年无衰减利用小时数（综合考虑技术优化）</t>
    <phoneticPr fontId="61" type="noConversion"/>
  </si>
  <si>
    <t>所得税税率</t>
    <phoneticPr fontId="61" type="noConversion"/>
  </si>
  <si>
    <t>是否享受西部大开发优惠税率</t>
    <phoneticPr fontId="61" type="noConversion"/>
  </si>
  <si>
    <t>自动计算</t>
    <phoneticPr fontId="61" type="noConversion"/>
  </si>
  <si>
    <t>小时</t>
    <phoneticPr fontId="61" type="noConversion"/>
  </si>
  <si>
    <t>参考值，《风电、光伏发电项目建设工作方案》（国能发新能〔2019〕49号）规定：列入国家补贴范围的光伏发电项目，应在申报的预计投产时间所在的季度末之前全容量建成并网，逾期未建成并网的，每逾期一个季度并网电价补贴降低0.01元/千瓦时；在申报投产所在季度后两个季度内仍未建成并网的，取消项目补贴资格。本参数按照延期一个季度并网取值，拟申报电价在该参数基础上增加0.01元/千瓦时。</t>
    <phoneticPr fontId="61" type="noConversion"/>
  </si>
  <si>
    <r>
      <rPr>
        <sz val="11"/>
        <rFont val="宋体"/>
        <charset val="134"/>
      </rPr>
      <t>若为竞价类项目，保障收购年利用小时数按《关于做好风电、光伏发电全额保障性收购管理工作的通知》（发改能源〔</t>
    </r>
    <r>
      <rPr>
        <sz val="11"/>
        <rFont val="Times New Roman"/>
        <family val="1"/>
      </rPr>
      <t>2016</t>
    </r>
    <r>
      <rPr>
        <sz val="11"/>
        <rFont val="宋体"/>
        <charset val="134"/>
      </rPr>
      <t>〕</t>
    </r>
    <r>
      <rPr>
        <sz val="11"/>
        <rFont val="Times New Roman"/>
        <family val="1"/>
      </rPr>
      <t>1150</t>
    </r>
    <r>
      <rPr>
        <sz val="11"/>
        <rFont val="宋体"/>
        <charset val="134"/>
      </rPr>
      <t>号）规定的最低保障收购年利用小时数计算，未规定最低保障收购年利用小时数的，按</t>
    </r>
    <r>
      <rPr>
        <sz val="11"/>
        <rFont val="Times New Roman"/>
        <family val="1"/>
      </rPr>
      <t>II</t>
    </r>
    <r>
      <rPr>
        <sz val="11"/>
        <rFont val="宋体"/>
        <charset val="134"/>
      </rPr>
      <t>类地区</t>
    </r>
    <r>
      <rPr>
        <sz val="11"/>
        <rFont val="Times New Roman"/>
        <family val="1"/>
      </rPr>
      <t>1300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III</t>
    </r>
    <r>
      <rPr>
        <sz val="11"/>
        <rFont val="宋体"/>
        <charset val="134"/>
      </rPr>
      <t>类地区</t>
    </r>
    <r>
      <rPr>
        <sz val="11"/>
        <rFont val="Times New Roman"/>
        <family val="1"/>
      </rPr>
      <t>1100</t>
    </r>
    <r>
      <rPr>
        <sz val="11"/>
        <rFont val="宋体"/>
        <charset val="134"/>
      </rPr>
      <t>基础小时数计算。</t>
    </r>
    <phoneticPr fontId="61" type="noConversion"/>
  </si>
  <si>
    <t>参考值</t>
    <phoneticPr fontId="61" type="noConversion"/>
  </si>
  <si>
    <t>偿债负债指标</t>
    <phoneticPr fontId="61" type="noConversion"/>
  </si>
  <si>
    <r>
      <t>20</t>
    </r>
    <r>
      <rPr>
        <sz val="11"/>
        <rFont val="宋体"/>
        <charset val="134"/>
      </rPr>
      <t>年计算</t>
    </r>
    <phoneticPr fontId="61" type="noConversion"/>
  </si>
  <si>
    <t>运营年限</t>
    <phoneticPr fontId="61" type="noConversion"/>
  </si>
  <si>
    <r>
      <rPr>
        <sz val="11"/>
        <rFont val="宋体"/>
        <charset val="134"/>
      </rPr>
      <t>当参数表运营年限为</t>
    </r>
    <r>
      <rPr>
        <sz val="11"/>
        <rFont val="Times New Roman"/>
        <family val="1"/>
      </rPr>
      <t>20</t>
    </r>
    <r>
      <rPr>
        <sz val="11"/>
        <rFont val="宋体"/>
        <charset val="134"/>
      </rPr>
      <t>年时：</t>
    </r>
    <phoneticPr fontId="61" type="noConversion"/>
  </si>
  <si>
    <t>全投资财务内部收益率（税前）</t>
    <phoneticPr fontId="61" type="noConversion"/>
  </si>
  <si>
    <t>资本金财务内部收益率（税后）</t>
    <phoneticPr fontId="61" type="noConversion"/>
  </si>
  <si>
    <t>20年计算</t>
    <phoneticPr fontId="61" type="noConversion"/>
  </si>
  <si>
    <t>工程收益</t>
    <phoneticPr fontId="61" type="noConversion"/>
  </si>
  <si>
    <t>市场化交易电价</t>
    <phoneticPr fontId="61" type="noConversion"/>
  </si>
  <si>
    <r>
      <t>当地煤电标杆电价（现称基准电价），</t>
    </r>
    <r>
      <rPr>
        <b/>
        <sz val="11"/>
        <color indexed="60"/>
        <rFont val="宋体"/>
        <charset val="134"/>
      </rPr>
      <t>综合考虑市场化交易（若有）和“两个细则”考核成本、省内外辅助服务市场化交易分摊成本。</t>
    </r>
    <phoneticPr fontId="61" type="noConversion"/>
  </si>
  <si>
    <t>市场化交易电价，综合考虑市场化交易（若有）和“两个细则”考核成本、省内外辅助服务市场化交易分摊成本。</t>
    <phoneticPr fontId="61" type="noConversion"/>
  </si>
  <si>
    <t>装机容量（直流侧）</t>
    <phoneticPr fontId="61" type="noConversion"/>
  </si>
  <si>
    <t>标杆上网电价-保障利用小时数</t>
    <phoneticPr fontId="61" type="noConversion"/>
  </si>
  <si>
    <t>暂列金</t>
    <phoneticPr fontId="61" type="noConversion"/>
  </si>
  <si>
    <t>考虑工程收益的资本金财务内部收益率（所得税后）</t>
    <phoneticPr fontId="61" type="noConversion"/>
  </si>
  <si>
    <t>总投资收益率（ROI）</t>
    <phoneticPr fontId="61" type="noConversion"/>
  </si>
  <si>
    <t xml:space="preserve"> 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</si>
</sst>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 * #,##0.00_ ;_ * \-#,##0.00_ ;_ * &quot;-&quot;??_ ;_ @_ "/>
    <numFmt numFmtId="179" formatCode="_-* #,##0.00_-;\-* #,##0.00_-;_-* &quot;-&quot;??_-;_-@_-"/>
    <numFmt numFmtId="180" formatCode="0.0%"/>
    <numFmt numFmtId="181" formatCode="0.0_);[Red]\(0.0\)"/>
    <numFmt numFmtId="182" formatCode="0.00_ "/>
    <numFmt numFmtId="183" formatCode="_ * #,##0_ ;_ * \-#,##0_ ;_ * &quot;-&quot;??_ ;_ @_ "/>
    <numFmt numFmtId="184" formatCode="0_ "/>
    <numFmt numFmtId="185" formatCode="0.0_ "/>
    <numFmt numFmtId="186" formatCode="0_);[Red]\(0\)"/>
    <numFmt numFmtId="188" formatCode="_-* #,##0.0_-;\-* #,##0.0_-;_-* &quot;-&quot;??_-;_-@_-"/>
    <numFmt numFmtId="189" formatCode="0.0"/>
    <numFmt numFmtId="190" formatCode="0.0000"/>
    <numFmt numFmtId="191" formatCode="0.000_);[Red]\(0.000\)"/>
    <numFmt numFmtId="192" formatCode="0.00_);[Red]\(0.00\)"/>
    <numFmt numFmtId="193" formatCode="#,##0_ "/>
    <numFmt numFmtId="194" formatCode="#,##0_ ;[Red]\-#,##0\ "/>
    <numFmt numFmtId="195" formatCode="_ * #,##0.0_ ;_ * \-#,##0.0_ ;_ * &quot;-&quot;??_ ;_ @_ "/>
    <numFmt numFmtId="196" formatCode="#,##0_);[Red]\(#,##0\)"/>
    <numFmt numFmtId="203" formatCode="#,##0.0_ "/>
    <numFmt numFmtId="204" formatCode="0.000_ "/>
    <numFmt numFmtId="206" formatCode="0.0000_ "/>
    <numFmt numFmtId="209" formatCode="0.0000_);[Red]\(0.0000\)"/>
  </numFmts>
  <fonts count="78" x14ac:knownFonts="1">
    <font>
      <sz val="12"/>
      <name val="宋体"/>
      <charset val="134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name val="宋体"/>
      <charset val="134"/>
    </font>
    <font>
      <sz val="11"/>
      <color indexed="8"/>
      <name val="Times New Roman"/>
      <family val="1"/>
    </font>
    <font>
      <sz val="10"/>
      <color indexed="8"/>
      <name val="Arial"/>
      <family val="2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sz val="10"/>
      <color indexed="10"/>
      <name val="Arial"/>
      <family val="2"/>
    </font>
    <font>
      <sz val="9"/>
      <color indexed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8"/>
      <name val="黑体"/>
      <family val="3"/>
      <charset val="134"/>
    </font>
    <font>
      <sz val="16"/>
      <name val="黑体"/>
      <family val="3"/>
      <charset val="134"/>
    </font>
    <font>
      <sz val="16"/>
      <name val="Times New Roman"/>
      <family val="1"/>
    </font>
    <font>
      <sz val="11"/>
      <name val="宋体"/>
      <charset val="134"/>
    </font>
    <font>
      <b/>
      <sz val="11"/>
      <name val="Times New Roman"/>
      <family val="1"/>
    </font>
    <font>
      <b/>
      <sz val="11"/>
      <name val="宋体"/>
      <charset val="134"/>
    </font>
    <font>
      <sz val="12"/>
      <name val="Times New Roman"/>
      <family val="1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name val="Times New Roman"/>
      <family val="1"/>
    </font>
    <font>
      <sz val="10.5"/>
      <color indexed="8"/>
      <name val="Times New Roman"/>
      <family val="1"/>
    </font>
    <font>
      <sz val="11"/>
      <color indexed="8"/>
      <name val="宋体"/>
      <charset val="134"/>
    </font>
    <font>
      <sz val="11"/>
      <color indexed="10"/>
      <name val="Times New Roman"/>
      <family val="1"/>
    </font>
    <font>
      <sz val="12"/>
      <color indexed="18"/>
      <name val="宋体"/>
      <charset val="134"/>
    </font>
    <font>
      <sz val="10"/>
      <color indexed="8"/>
      <name val="Times New Roman"/>
      <family val="1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4"/>
      <name val="黑体"/>
      <family val="3"/>
      <charset val="134"/>
    </font>
    <font>
      <sz val="14"/>
      <name val="Arial"/>
      <family val="2"/>
    </font>
    <font>
      <b/>
      <sz val="12"/>
      <name val="黑体"/>
      <family val="3"/>
      <charset val="134"/>
    </font>
    <font>
      <b/>
      <sz val="12"/>
      <color indexed="8"/>
      <name val="Arial"/>
      <family val="2"/>
    </font>
    <font>
      <b/>
      <sz val="12"/>
      <color indexed="8"/>
      <name val="黑体"/>
      <family val="3"/>
      <charset val="134"/>
    </font>
    <font>
      <b/>
      <sz val="12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20"/>
      <name val="宋体"/>
      <charset val="134"/>
    </font>
    <font>
      <b/>
      <sz val="11"/>
      <color indexed="63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9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63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color indexed="60"/>
      <name val="Times New Roman"/>
      <family val="1"/>
    </font>
    <font>
      <b/>
      <sz val="11"/>
      <color indexed="6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仿宋"/>
      <family val="3"/>
      <charset val="134"/>
    </font>
    <font>
      <sz val="16"/>
      <name val="仿宋"/>
      <family val="3"/>
      <charset val="134"/>
    </font>
    <font>
      <b/>
      <sz val="11"/>
      <name val="仿宋"/>
      <family val="3"/>
      <charset val="134"/>
    </font>
    <font>
      <vertAlign val="subscript"/>
      <sz val="11"/>
      <name val="Times New Roman"/>
      <family val="1"/>
    </font>
    <font>
      <sz val="11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1">
    <xf numFmtId="0" fontId="0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3" fillId="0" borderId="0" applyProtection="0"/>
    <xf numFmtId="0" fontId="51" fillId="3" borderId="0" applyNumberFormat="0" applyBorder="0" applyAlignment="0" applyProtection="0">
      <alignment vertical="center"/>
    </xf>
    <xf numFmtId="0" fontId="48" fillId="0" borderId="4" applyNumberFormat="0" applyFill="0" applyAlignment="0" applyProtection="0">
      <alignment vertical="center"/>
    </xf>
    <xf numFmtId="0" fontId="50" fillId="6" borderId="5" applyNumberFormat="0" applyAlignment="0" applyProtection="0">
      <alignment vertical="center"/>
    </xf>
    <xf numFmtId="0" fontId="47" fillId="7" borderId="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55" fillId="6" borderId="8" applyNumberFormat="0" applyAlignment="0" applyProtection="0">
      <alignment vertical="center"/>
    </xf>
    <xf numFmtId="0" fontId="46" fillId="4" borderId="5" applyNumberFormat="0" applyAlignment="0" applyProtection="0">
      <alignment vertical="center"/>
    </xf>
    <xf numFmtId="0" fontId="62" fillId="9" borderId="9" applyNumberFormat="0" applyFont="0" applyAlignment="0" applyProtection="0">
      <alignment vertical="center"/>
    </xf>
  </cellStyleXfs>
  <cellXfs count="57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10" xfId="0" applyFont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6" fillId="10" borderId="10" xfId="0" applyFont="1" applyFill="1" applyBorder="1" applyAlignment="1">
      <alignment horizontal="left" vertical="center" wrapText="1"/>
    </xf>
    <xf numFmtId="182" fontId="6" fillId="10" borderId="10" xfId="0" applyNumberFormat="1" applyFont="1" applyFill="1" applyBorder="1" applyAlignment="1">
      <alignment horizontal="right" vertical="center" wrapText="1"/>
    </xf>
    <xf numFmtId="183" fontId="6" fillId="10" borderId="10" xfId="16" applyNumberFormat="1" applyFont="1" applyFill="1" applyBorder="1" applyAlignment="1">
      <alignment horizontal="right" vertical="center" wrapText="1"/>
    </xf>
    <xf numFmtId="0" fontId="9" fillId="10" borderId="11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left" vertical="center" wrapText="1" indent="1"/>
    </xf>
    <xf numFmtId="182" fontId="9" fillId="10" borderId="10" xfId="0" applyNumberFormat="1" applyFont="1" applyFill="1" applyBorder="1" applyAlignment="1">
      <alignment horizontal="right" vertical="center" wrapText="1"/>
    </xf>
    <xf numFmtId="183" fontId="9" fillId="10" borderId="10" xfId="16" applyNumberFormat="1" applyFont="1" applyFill="1" applyBorder="1" applyAlignment="1">
      <alignment horizontal="right" vertical="center" wrapText="1"/>
    </xf>
    <xf numFmtId="184" fontId="9" fillId="10" borderId="10" xfId="0" applyNumberFormat="1" applyFont="1" applyFill="1" applyBorder="1" applyAlignment="1">
      <alignment horizontal="right" vertical="center" wrapText="1"/>
    </xf>
    <xf numFmtId="0" fontId="10" fillId="10" borderId="10" xfId="0" applyFont="1" applyFill="1" applyBorder="1" applyAlignment="1">
      <alignment horizontal="left" vertical="center" wrapText="1" indent="1"/>
    </xf>
    <xf numFmtId="0" fontId="11" fillId="10" borderId="10" xfId="0" applyFont="1" applyFill="1" applyBorder="1" applyAlignment="1">
      <alignment horizontal="left" vertical="center" wrapText="1" indent="1"/>
    </xf>
    <xf numFmtId="0" fontId="6" fillId="10" borderId="12" xfId="0" applyFont="1" applyFill="1" applyBorder="1" applyAlignment="1">
      <alignment horizontal="left" vertical="center" wrapText="1"/>
    </xf>
    <xf numFmtId="0" fontId="6" fillId="10" borderId="13" xfId="0" applyFont="1" applyFill="1" applyBorder="1" applyAlignment="1">
      <alignment horizontal="left" vertical="center" wrapText="1"/>
    </xf>
    <xf numFmtId="182" fontId="6" fillId="10" borderId="13" xfId="0" applyNumberFormat="1" applyFont="1" applyFill="1" applyBorder="1" applyAlignment="1">
      <alignment horizontal="right" vertical="center" wrapText="1"/>
    </xf>
    <xf numFmtId="183" fontId="6" fillId="10" borderId="13" xfId="16" applyNumberFormat="1" applyFont="1" applyFill="1" applyBorder="1" applyAlignment="1">
      <alignment horizontal="right" vertical="center" wrapText="1"/>
    </xf>
    <xf numFmtId="0" fontId="0" fillId="0" borderId="0" xfId="0" applyFont="1" applyAlignment="1">
      <alignment vertical="center"/>
    </xf>
    <xf numFmtId="185" fontId="3" fillId="0" borderId="0" xfId="0" applyNumberFormat="1" applyFont="1" applyAlignment="1">
      <alignment vertical="center"/>
    </xf>
    <xf numFmtId="183" fontId="12" fillId="10" borderId="10" xfId="16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3" fillId="0" borderId="10" xfId="0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83" fontId="9" fillId="10" borderId="15" xfId="16" applyNumberFormat="1" applyFont="1" applyFill="1" applyBorder="1" applyAlignment="1">
      <alignment horizontal="right" vertical="center" wrapText="1"/>
    </xf>
    <xf numFmtId="183" fontId="6" fillId="10" borderId="15" xfId="16" applyNumberFormat="1" applyFont="1" applyFill="1" applyBorder="1" applyAlignment="1">
      <alignment horizontal="right" vertical="center" wrapText="1"/>
    </xf>
    <xf numFmtId="183" fontId="3" fillId="0" borderId="16" xfId="0" applyNumberFormat="1" applyFont="1" applyBorder="1" applyAlignme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justify" wrapText="1"/>
    </xf>
    <xf numFmtId="186" fontId="14" fillId="0" borderId="10" xfId="0" applyNumberFormat="1" applyFont="1" applyBorder="1" applyAlignment="1">
      <alignment horizontal="center" wrapText="1"/>
    </xf>
    <xf numFmtId="186" fontId="14" fillId="0" borderId="10" xfId="0" applyNumberFormat="1" applyFont="1" applyBorder="1" applyAlignment="1">
      <alignment horizontal="right" wrapText="1"/>
    </xf>
    <xf numFmtId="186" fontId="22" fillId="0" borderId="10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justify" wrapText="1"/>
    </xf>
    <xf numFmtId="0" fontId="0" fillId="0" borderId="10" xfId="0" applyBorder="1">
      <alignment vertical="center"/>
    </xf>
    <xf numFmtId="184" fontId="16" fillId="0" borderId="10" xfId="0" applyNumberFormat="1" applyFont="1" applyBorder="1">
      <alignment vertical="center"/>
    </xf>
    <xf numFmtId="0" fontId="22" fillId="0" borderId="10" xfId="0" applyFont="1" applyBorder="1" applyAlignment="1">
      <alignment horizontal="left" vertical="center"/>
    </xf>
    <xf numFmtId="2" fontId="16" fillId="0" borderId="10" xfId="0" applyNumberFormat="1" applyFont="1" applyBorder="1">
      <alignment vertical="center"/>
    </xf>
    <xf numFmtId="0" fontId="23" fillId="0" borderId="10" xfId="0" applyFont="1" applyBorder="1">
      <alignment vertical="center"/>
    </xf>
    <xf numFmtId="0" fontId="7" fillId="0" borderId="11" xfId="0" applyFont="1" applyBorder="1" applyAlignment="1">
      <alignment horizontal="left" vertical="center"/>
    </xf>
    <xf numFmtId="0" fontId="20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186" fontId="14" fillId="0" borderId="13" xfId="0" applyNumberFormat="1" applyFont="1" applyBorder="1" applyAlignment="1">
      <alignment horizontal="right" wrapText="1"/>
    </xf>
    <xf numFmtId="0" fontId="14" fillId="0" borderId="10" xfId="0" applyFont="1" applyBorder="1">
      <alignment vertical="center"/>
    </xf>
    <xf numFmtId="1" fontId="16" fillId="0" borderId="10" xfId="0" applyNumberFormat="1" applyFont="1" applyBorder="1">
      <alignment vertical="center"/>
    </xf>
    <xf numFmtId="0" fontId="16" fillId="0" borderId="15" xfId="0" applyFont="1" applyBorder="1">
      <alignment vertical="center"/>
    </xf>
    <xf numFmtId="0" fontId="15" fillId="0" borderId="15" xfId="0" applyFont="1" applyBorder="1">
      <alignment vertical="center"/>
    </xf>
    <xf numFmtId="182" fontId="16" fillId="0" borderId="15" xfId="0" applyNumberFormat="1" applyFont="1" applyBorder="1">
      <alignment vertical="center"/>
    </xf>
    <xf numFmtId="0" fontId="16" fillId="0" borderId="16" xfId="0" applyFont="1" applyBorder="1">
      <alignment vertical="center"/>
    </xf>
    <xf numFmtId="0" fontId="20" fillId="0" borderId="19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86" fontId="14" fillId="0" borderId="0" xfId="0" applyNumberFormat="1" applyFo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>
      <alignment vertical="center"/>
    </xf>
    <xf numFmtId="0" fontId="14" fillId="0" borderId="0" xfId="0" applyFont="1" applyBorder="1">
      <alignment vertical="center"/>
    </xf>
    <xf numFmtId="0" fontId="28" fillId="0" borderId="0" xfId="0" applyFont="1" applyBorder="1" applyAlignment="1">
      <alignment horizontal="left" vertical="center"/>
    </xf>
    <xf numFmtId="1" fontId="14" fillId="0" borderId="10" xfId="0" applyNumberFormat="1" applyFont="1" applyBorder="1" applyAlignment="1">
      <alignment horizontal="right" wrapText="1"/>
    </xf>
    <xf numFmtId="186" fontId="14" fillId="0" borderId="15" xfId="0" applyNumberFormat="1" applyFont="1" applyBorder="1" applyAlignment="1">
      <alignment horizontal="right" wrapText="1"/>
    </xf>
    <xf numFmtId="0" fontId="14" fillId="0" borderId="15" xfId="0" applyFont="1" applyBorder="1" applyAlignment="1">
      <alignment horizontal="justify" wrapText="1"/>
    </xf>
    <xf numFmtId="0" fontId="14" fillId="0" borderId="15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2" fontId="14" fillId="0" borderId="10" xfId="0" applyNumberFormat="1" applyFont="1" applyBorder="1" applyAlignment="1">
      <alignment horizontal="right" wrapText="1"/>
    </xf>
    <xf numFmtId="0" fontId="20" fillId="0" borderId="10" xfId="0" applyFont="1" applyBorder="1" applyAlignment="1">
      <alignment horizontal="left" wrapText="1"/>
    </xf>
    <xf numFmtId="0" fontId="14" fillId="0" borderId="10" xfId="0" applyFont="1" applyBorder="1" applyAlignment="1">
      <alignment horizontal="right" wrapText="1"/>
    </xf>
    <xf numFmtId="0" fontId="14" fillId="0" borderId="10" xfId="0" applyFont="1" applyBorder="1" applyAlignment="1">
      <alignment horizontal="justify" wrapText="1"/>
    </xf>
    <xf numFmtId="0" fontId="14" fillId="0" borderId="12" xfId="0" applyFont="1" applyBorder="1">
      <alignment vertical="center"/>
    </xf>
    <xf numFmtId="0" fontId="14" fillId="0" borderId="13" xfId="0" applyFont="1" applyBorder="1" applyAlignment="1">
      <alignment horizontal="justify" wrapText="1"/>
    </xf>
    <xf numFmtId="2" fontId="14" fillId="0" borderId="13" xfId="0" applyNumberFormat="1" applyFont="1" applyBorder="1" applyAlignment="1">
      <alignment horizontal="right" wrapText="1"/>
    </xf>
    <xf numFmtId="1" fontId="14" fillId="0" borderId="13" xfId="0" applyNumberFormat="1" applyFont="1" applyBorder="1" applyAlignment="1">
      <alignment horizontal="right" wrapText="1"/>
    </xf>
    <xf numFmtId="0" fontId="20" fillId="0" borderId="0" xfId="0" applyFont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20" fillId="0" borderId="0" xfId="0" applyFont="1" applyBorder="1" applyAlignment="1">
      <alignment horizontal="right" vertical="center"/>
    </xf>
    <xf numFmtId="0" fontId="20" fillId="0" borderId="0" xfId="0" applyFont="1" applyBorder="1" applyAlignment="1">
      <alignment vertical="center"/>
    </xf>
    <xf numFmtId="0" fontId="14" fillId="0" borderId="11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horizontal="right" vertical="center"/>
    </xf>
    <xf numFmtId="1" fontId="14" fillId="0" borderId="10" xfId="0" applyNumberFormat="1" applyFont="1" applyBorder="1" applyAlignment="1">
      <alignment horizontal="right" vertical="center"/>
    </xf>
    <xf numFmtId="0" fontId="20" fillId="0" borderId="10" xfId="0" applyFont="1" applyBorder="1">
      <alignment vertical="center"/>
    </xf>
    <xf numFmtId="189" fontId="14" fillId="0" borderId="10" xfId="0" applyNumberFormat="1" applyFont="1" applyBorder="1" applyAlignment="1">
      <alignment horizontal="right" vertical="center"/>
    </xf>
    <xf numFmtId="0" fontId="14" fillId="0" borderId="12" xfId="0" applyFont="1" applyBorder="1" applyAlignment="1">
      <alignment horizontal="left" vertical="center"/>
    </xf>
    <xf numFmtId="0" fontId="20" fillId="0" borderId="13" xfId="0" applyFont="1" applyBorder="1">
      <alignment vertical="center"/>
    </xf>
    <xf numFmtId="0" fontId="14" fillId="0" borderId="13" xfId="0" applyFont="1" applyBorder="1" applyAlignment="1">
      <alignment horizontal="right" vertical="center"/>
    </xf>
    <xf numFmtId="0" fontId="14" fillId="0" borderId="20" xfId="0" applyFont="1" applyBorder="1" applyAlignment="1">
      <alignment horizontal="left" vertical="center"/>
    </xf>
    <xf numFmtId="0" fontId="20" fillId="0" borderId="21" xfId="0" applyFont="1" applyBorder="1">
      <alignment vertical="center"/>
    </xf>
    <xf numFmtId="0" fontId="14" fillId="0" borderId="21" xfId="0" applyFont="1" applyBorder="1" applyAlignment="1">
      <alignment horizontal="right" vertical="center"/>
    </xf>
    <xf numFmtId="0" fontId="14" fillId="0" borderId="21" xfId="0" applyFont="1" applyBorder="1">
      <alignment vertical="center"/>
    </xf>
    <xf numFmtId="182" fontId="14" fillId="0" borderId="10" xfId="0" applyNumberFormat="1" applyFont="1" applyBorder="1">
      <alignment vertical="center"/>
    </xf>
    <xf numFmtId="0" fontId="14" fillId="0" borderId="13" xfId="0" applyFont="1" applyBorder="1">
      <alignment vertical="center"/>
    </xf>
    <xf numFmtId="189" fontId="14" fillId="0" borderId="10" xfId="0" applyNumberFormat="1" applyFont="1" applyBorder="1" applyAlignment="1">
      <alignment horizontal="right" wrapText="1"/>
    </xf>
    <xf numFmtId="2" fontId="14" fillId="0" borderId="15" xfId="0" applyNumberFormat="1" applyFont="1" applyBorder="1" applyAlignment="1">
      <alignment horizontal="right" wrapText="1"/>
    </xf>
    <xf numFmtId="1" fontId="14" fillId="0" borderId="15" xfId="0" applyNumberFormat="1" applyFont="1" applyBorder="1" applyAlignment="1">
      <alignment horizontal="right" wrapText="1"/>
    </xf>
    <xf numFmtId="0" fontId="14" fillId="0" borderId="14" xfId="0" applyFont="1" applyBorder="1">
      <alignment vertical="center"/>
    </xf>
    <xf numFmtId="189" fontId="14" fillId="0" borderId="15" xfId="0" applyNumberFormat="1" applyFont="1" applyBorder="1" applyAlignment="1">
      <alignment horizontal="right" wrapText="1"/>
    </xf>
    <xf numFmtId="189" fontId="14" fillId="0" borderId="16" xfId="0" applyNumberFormat="1" applyFont="1" applyBorder="1" applyAlignment="1">
      <alignment horizontal="right" wrapText="1"/>
    </xf>
    <xf numFmtId="0" fontId="14" fillId="0" borderId="22" xfId="0" applyFont="1" applyBorder="1">
      <alignment vertical="center"/>
    </xf>
    <xf numFmtId="182" fontId="14" fillId="0" borderId="15" xfId="0" applyNumberFormat="1" applyFont="1" applyBorder="1">
      <alignment vertical="center"/>
    </xf>
    <xf numFmtId="0" fontId="14" fillId="0" borderId="0" xfId="0" applyFont="1" applyAlignment="1">
      <alignment vertical="center"/>
    </xf>
    <xf numFmtId="0" fontId="7" fillId="0" borderId="10" xfId="0" applyFont="1" applyBorder="1" applyAlignment="1">
      <alignment horizontal="justify" wrapText="1"/>
    </xf>
    <xf numFmtId="190" fontId="14" fillId="0" borderId="10" xfId="0" applyNumberFormat="1" applyFont="1" applyBorder="1" applyAlignment="1">
      <alignment horizontal="right" wrapText="1"/>
    </xf>
    <xf numFmtId="0" fontId="20" fillId="0" borderId="10" xfId="0" applyFont="1" applyBorder="1" applyAlignment="1">
      <alignment vertical="center"/>
    </xf>
    <xf numFmtId="184" fontId="14" fillId="0" borderId="10" xfId="0" applyNumberFormat="1" applyFont="1" applyBorder="1" applyAlignment="1">
      <alignment horizontal="right" wrapText="1"/>
    </xf>
    <xf numFmtId="0" fontId="20" fillId="0" borderId="13" xfId="0" applyFont="1" applyBorder="1" applyAlignment="1">
      <alignment horizontal="justify" wrapText="1"/>
    </xf>
    <xf numFmtId="0" fontId="22" fillId="0" borderId="0" xfId="0" applyFont="1" applyAlignment="1">
      <alignment vertical="center"/>
    </xf>
    <xf numFmtId="0" fontId="20" fillId="0" borderId="23" xfId="0" applyFont="1" applyBorder="1" applyAlignment="1">
      <alignment vertical="center"/>
    </xf>
    <xf numFmtId="0" fontId="14" fillId="0" borderId="24" xfId="0" applyFont="1" applyBorder="1">
      <alignment vertical="center"/>
    </xf>
    <xf numFmtId="186" fontId="14" fillId="10" borderId="24" xfId="0" applyNumberFormat="1" applyFont="1" applyFill="1" applyBorder="1">
      <alignment vertical="center"/>
    </xf>
    <xf numFmtId="0" fontId="20" fillId="0" borderId="25" xfId="0" applyFont="1" applyBorder="1" applyAlignment="1">
      <alignment vertical="center"/>
    </xf>
    <xf numFmtId="186" fontId="14" fillId="10" borderId="10" xfId="0" applyNumberFormat="1" applyFont="1" applyFill="1" applyBorder="1">
      <alignment vertical="center"/>
    </xf>
    <xf numFmtId="186" fontId="14" fillId="10" borderId="0" xfId="0" applyNumberFormat="1" applyFont="1" applyFill="1" applyBorder="1">
      <alignment vertical="center"/>
    </xf>
    <xf numFmtId="191" fontId="14" fillId="0" borderId="10" xfId="0" applyNumberFormat="1" applyFont="1" applyBorder="1" applyAlignment="1">
      <alignment horizontal="right" wrapText="1"/>
    </xf>
    <xf numFmtId="192" fontId="14" fillId="0" borderId="10" xfId="0" applyNumberFormat="1" applyFont="1" applyBorder="1" applyAlignment="1">
      <alignment horizontal="right" wrapText="1"/>
    </xf>
    <xf numFmtId="186" fontId="14" fillId="10" borderId="26" xfId="0" applyNumberFormat="1" applyFont="1" applyFill="1" applyBorder="1">
      <alignment vertical="center"/>
    </xf>
    <xf numFmtId="0" fontId="14" fillId="0" borderId="15" xfId="0" applyFont="1" applyBorder="1" applyAlignment="1">
      <alignment horizontal="right" wrapText="1"/>
    </xf>
    <xf numFmtId="0" fontId="20" fillId="0" borderId="15" xfId="0" applyFont="1" applyBorder="1" applyAlignment="1">
      <alignment horizontal="justify" wrapText="1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196" fontId="34" fillId="0" borderId="0" xfId="0" applyNumberFormat="1" applyFont="1">
      <alignment vertical="center"/>
    </xf>
    <xf numFmtId="0" fontId="20" fillId="0" borderId="10" xfId="0" quotePrefix="1" applyFont="1" applyBorder="1" applyAlignment="1">
      <alignment horizontal="left" vertical="center"/>
    </xf>
    <xf numFmtId="0" fontId="20" fillId="0" borderId="10" xfId="0" quotePrefix="1" applyFont="1" applyBorder="1" applyAlignment="1">
      <alignment horizontal="left" wrapText="1"/>
    </xf>
    <xf numFmtId="0" fontId="14" fillId="0" borderId="11" xfId="0" quotePrefix="1" applyFont="1" applyBorder="1" applyAlignment="1">
      <alignment horizontal="center" vertical="center"/>
    </xf>
    <xf numFmtId="0" fontId="22" fillId="0" borderId="10" xfId="0" quotePrefix="1" applyFont="1" applyBorder="1" applyAlignment="1">
      <alignment horizontal="left" wrapText="1"/>
    </xf>
    <xf numFmtId="0" fontId="20" fillId="0" borderId="0" xfId="0" quotePrefix="1" applyFont="1" applyBorder="1" applyAlignment="1">
      <alignment horizontal="right" vertical="center"/>
    </xf>
    <xf numFmtId="0" fontId="20" fillId="0" borderId="10" xfId="0" quotePrefix="1" applyFont="1" applyBorder="1" applyAlignment="1">
      <alignment horizontal="left" vertical="center" wrapText="1"/>
    </xf>
    <xf numFmtId="0" fontId="28" fillId="0" borderId="27" xfId="0" quotePrefix="1" applyFont="1" applyBorder="1" applyAlignment="1">
      <alignment horizontal="left" vertical="center"/>
    </xf>
    <xf numFmtId="0" fontId="0" fillId="0" borderId="27" xfId="0" applyBorder="1">
      <alignment vertical="center"/>
    </xf>
    <xf numFmtId="0" fontId="62" fillId="0" borderId="27" xfId="0" applyFont="1" applyBorder="1">
      <alignment vertical="center"/>
    </xf>
    <xf numFmtId="0" fontId="20" fillId="0" borderId="27" xfId="0" applyFont="1" applyBorder="1" applyAlignment="1">
      <alignment horizontal="left" vertical="center"/>
    </xf>
    <xf numFmtId="186" fontId="14" fillId="0" borderId="27" xfId="0" applyNumberFormat="1" applyFont="1" applyBorder="1">
      <alignment vertical="center"/>
    </xf>
    <xf numFmtId="0" fontId="14" fillId="0" borderId="27" xfId="0" applyFont="1" applyBorder="1" applyAlignment="1">
      <alignment horizontal="left" vertical="center"/>
    </xf>
    <xf numFmtId="0" fontId="14" fillId="0" borderId="27" xfId="0" applyFont="1" applyBorder="1">
      <alignment vertical="center"/>
    </xf>
    <xf numFmtId="182" fontId="14" fillId="0" borderId="27" xfId="0" applyNumberFormat="1" applyFont="1" applyBorder="1">
      <alignment vertical="center"/>
    </xf>
    <xf numFmtId="0" fontId="28" fillId="0" borderId="27" xfId="0" applyFont="1" applyBorder="1" applyAlignment="1">
      <alignment horizontal="left" vertical="top"/>
    </xf>
    <xf numFmtId="1" fontId="14" fillId="0" borderId="27" xfId="0" applyNumberFormat="1" applyFont="1" applyBorder="1">
      <alignment vertical="center"/>
    </xf>
    <xf numFmtId="0" fontId="20" fillId="11" borderId="27" xfId="0" applyFont="1" applyFill="1" applyBorder="1" applyAlignment="1">
      <alignment horizontal="left" vertical="center"/>
    </xf>
    <xf numFmtId="10" fontId="14" fillId="0" borderId="27" xfId="0" applyNumberFormat="1" applyFont="1" applyBorder="1">
      <alignment vertical="center"/>
    </xf>
    <xf numFmtId="0" fontId="62" fillId="0" borderId="0" xfId="0" applyFont="1">
      <alignment vertical="center"/>
    </xf>
    <xf numFmtId="0" fontId="20" fillId="0" borderId="27" xfId="0" applyFont="1" applyFill="1" applyBorder="1" applyAlignment="1">
      <alignment horizontal="left" vertical="center"/>
    </xf>
    <xf numFmtId="182" fontId="0" fillId="0" borderId="0" xfId="0" applyNumberFormat="1">
      <alignment vertical="center"/>
    </xf>
    <xf numFmtId="182" fontId="0" fillId="0" borderId="27" xfId="0" applyNumberFormat="1" applyBorder="1">
      <alignment vertical="center"/>
    </xf>
    <xf numFmtId="183" fontId="3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Fill="1" applyAlignment="1">
      <alignment vertical="center"/>
    </xf>
    <xf numFmtId="190" fontId="65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80" fontId="14" fillId="0" borderId="0" xfId="0" applyNumberFormat="1" applyFont="1">
      <alignment vertical="center"/>
    </xf>
    <xf numFmtId="184" fontId="14" fillId="0" borderId="0" xfId="0" applyNumberFormat="1" applyFont="1">
      <alignment vertical="center"/>
    </xf>
    <xf numFmtId="10" fontId="0" fillId="0" borderId="0" xfId="0" applyNumberFormat="1">
      <alignment vertical="center"/>
    </xf>
    <xf numFmtId="186" fontId="0" fillId="0" borderId="0" xfId="0" applyNumberFormat="1">
      <alignment vertical="center"/>
    </xf>
    <xf numFmtId="0" fontId="22" fillId="0" borderId="0" xfId="0" applyFont="1">
      <alignment vertical="center"/>
    </xf>
    <xf numFmtId="182" fontId="14" fillId="0" borderId="0" xfId="0" applyNumberFormat="1" applyFont="1">
      <alignment vertical="center"/>
    </xf>
    <xf numFmtId="0" fontId="14" fillId="5" borderId="27" xfId="0" applyFont="1" applyFill="1" applyBorder="1" applyAlignment="1" applyProtection="1">
      <alignment horizontal="center" vertical="center"/>
      <protection locked="0"/>
    </xf>
    <xf numFmtId="185" fontId="14" fillId="5" borderId="27" xfId="0" applyNumberFormat="1" applyFont="1" applyFill="1" applyBorder="1" applyAlignment="1" applyProtection="1">
      <alignment horizontal="center" vertical="center" wrapText="1"/>
      <protection locked="0"/>
    </xf>
    <xf numFmtId="204" fontId="14" fillId="5" borderId="27" xfId="0" applyNumberFormat="1" applyFont="1" applyFill="1" applyBorder="1" applyAlignment="1" applyProtection="1">
      <alignment horizontal="center" vertical="center" wrapText="1"/>
      <protection locked="0"/>
    </xf>
    <xf numFmtId="185" fontId="14" fillId="10" borderId="27" xfId="0" applyNumberFormat="1" applyFont="1" applyFill="1" applyBorder="1" applyAlignment="1" applyProtection="1">
      <alignment horizontal="center" vertical="center" wrapText="1"/>
    </xf>
    <xf numFmtId="180" fontId="14" fillId="5" borderId="27" xfId="0" applyNumberFormat="1" applyFont="1" applyFill="1" applyBorder="1" applyAlignment="1" applyProtection="1">
      <alignment horizontal="center" vertical="center" wrapText="1"/>
      <protection locked="0"/>
    </xf>
    <xf numFmtId="10" fontId="14" fillId="0" borderId="27" xfId="1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185" fontId="14" fillId="10" borderId="28" xfId="0" applyNumberFormat="1" applyFont="1" applyFill="1" applyBorder="1" applyAlignment="1" applyProtection="1">
      <alignment horizontal="center" vertical="center" wrapText="1"/>
    </xf>
    <xf numFmtId="0" fontId="14" fillId="10" borderId="0" xfId="0" applyFont="1" applyFill="1">
      <alignment vertical="center"/>
    </xf>
    <xf numFmtId="0" fontId="14" fillId="10" borderId="11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justify" wrapText="1"/>
    </xf>
    <xf numFmtId="0" fontId="14" fillId="10" borderId="10" xfId="0" applyFont="1" applyFill="1" applyBorder="1" applyAlignment="1">
      <alignment horizontal="right" wrapText="1"/>
    </xf>
    <xf numFmtId="186" fontId="14" fillId="10" borderId="15" xfId="0" applyNumberFormat="1" applyFont="1" applyFill="1" applyBorder="1" applyAlignment="1">
      <alignment horizontal="right" wrapText="1"/>
    </xf>
    <xf numFmtId="2" fontId="14" fillId="10" borderId="10" xfId="0" applyNumberFormat="1" applyFont="1" applyFill="1" applyBorder="1" applyAlignment="1">
      <alignment horizontal="right" wrapText="1"/>
    </xf>
    <xf numFmtId="10" fontId="14" fillId="5" borderId="27" xfId="1" applyNumberFormat="1" applyFont="1" applyFill="1" applyBorder="1" applyAlignment="1" applyProtection="1">
      <alignment horizontal="center" vertical="center"/>
      <protection locked="0"/>
    </xf>
    <xf numFmtId="9" fontId="14" fillId="5" borderId="27" xfId="0" applyNumberFormat="1" applyFont="1" applyFill="1" applyBorder="1" applyAlignment="1" applyProtection="1">
      <alignment horizontal="center" vertical="center"/>
      <protection locked="0"/>
    </xf>
    <xf numFmtId="184" fontId="14" fillId="5" borderId="27" xfId="0" applyNumberFormat="1" applyFont="1" applyFill="1" applyBorder="1" applyAlignment="1" applyProtection="1">
      <alignment horizontal="center" vertical="center" wrapText="1"/>
      <protection locked="0"/>
    </xf>
    <xf numFmtId="180" fontId="14" fillId="5" borderId="27" xfId="1" applyNumberFormat="1" applyFont="1" applyFill="1" applyBorder="1" applyAlignment="1" applyProtection="1">
      <alignment horizontal="center" vertical="center"/>
      <protection locked="0"/>
    </xf>
    <xf numFmtId="0" fontId="14" fillId="0" borderId="27" xfId="0" applyFont="1" applyBorder="1" applyAlignment="1" applyProtection="1">
      <alignment horizontal="center" vertical="center"/>
    </xf>
    <xf numFmtId="0" fontId="36" fillId="0" borderId="0" xfId="0" applyFont="1" applyAlignment="1">
      <alignment vertical="center"/>
    </xf>
    <xf numFmtId="0" fontId="37" fillId="0" borderId="27" xfId="8" applyFont="1" applyBorder="1" applyAlignment="1">
      <alignment vertical="center"/>
    </xf>
    <xf numFmtId="0" fontId="2" fillId="0" borderId="27" xfId="8" applyFont="1" applyBorder="1" applyAlignment="1">
      <alignment horizontal="center" vertical="center"/>
    </xf>
    <xf numFmtId="0" fontId="3" fillId="0" borderId="27" xfId="8" applyFont="1" applyBorder="1" applyAlignment="1">
      <alignment horizontal="center" vertical="center"/>
    </xf>
    <xf numFmtId="0" fontId="0" fillId="0" borderId="27" xfId="8" applyFont="1" applyBorder="1" applyAlignment="1">
      <alignment horizontal="left" vertical="center"/>
    </xf>
    <xf numFmtId="9" fontId="3" fillId="0" borderId="27" xfId="8" applyNumberFormat="1" applyFont="1" applyBorder="1" applyAlignment="1">
      <alignment horizontal="right" vertical="center"/>
    </xf>
    <xf numFmtId="10" fontId="3" fillId="0" borderId="27" xfId="8" applyNumberFormat="1" applyFont="1" applyBorder="1" applyAlignment="1">
      <alignment horizontal="center" vertical="center"/>
    </xf>
    <xf numFmtId="10" fontId="3" fillId="0" borderId="27" xfId="8" applyNumberFormat="1" applyFont="1" applyBorder="1" applyAlignment="1">
      <alignment horizontal="right" vertical="center"/>
    </xf>
    <xf numFmtId="0" fontId="34" fillId="0" borderId="27" xfId="0" applyFont="1" applyBorder="1">
      <alignment vertical="center"/>
    </xf>
    <xf numFmtId="180" fontId="3" fillId="0" borderId="27" xfId="8" applyNumberFormat="1" applyFont="1" applyBorder="1" applyAlignment="1">
      <alignment horizontal="center" vertical="center"/>
    </xf>
    <xf numFmtId="180" fontId="3" fillId="0" borderId="27" xfId="8" applyNumberFormat="1" applyFont="1" applyBorder="1" applyAlignment="1">
      <alignment horizontal="right" vertical="center"/>
    </xf>
    <xf numFmtId="0" fontId="38" fillId="0" borderId="27" xfId="8" applyFont="1" applyBorder="1" applyAlignment="1">
      <alignment horizontal="left" vertical="center"/>
    </xf>
    <xf numFmtId="0" fontId="39" fillId="0" borderId="27" xfId="8" applyFont="1" applyBorder="1" applyAlignment="1">
      <alignment horizontal="left" vertical="center"/>
    </xf>
    <xf numFmtId="193" fontId="38" fillId="0" borderId="27" xfId="8" applyNumberFormat="1" applyFont="1" applyBorder="1" applyAlignment="1">
      <alignment horizontal="right" vertical="center"/>
    </xf>
    <xf numFmtId="194" fontId="38" fillId="0" borderId="27" xfId="16" applyNumberFormat="1" applyFont="1" applyBorder="1" applyAlignment="1">
      <alignment horizontal="center" vertical="center"/>
    </xf>
    <xf numFmtId="196" fontId="38" fillId="0" borderId="27" xfId="16" applyNumberFormat="1" applyFont="1" applyBorder="1" applyAlignment="1">
      <alignment horizontal="right" vertical="center"/>
    </xf>
    <xf numFmtId="195" fontId="3" fillId="0" borderId="27" xfId="16" applyNumberFormat="1" applyFont="1" applyBorder="1" applyAlignment="1">
      <alignment horizontal="center" vertical="center"/>
    </xf>
    <xf numFmtId="0" fontId="3" fillId="0" borderId="27" xfId="8" applyFont="1" applyBorder="1" applyAlignment="1">
      <alignment horizontal="left" vertical="center"/>
    </xf>
    <xf numFmtId="0" fontId="0" fillId="0" borderId="27" xfId="8" applyFont="1" applyBorder="1" applyAlignment="1">
      <alignment horizontal="left" vertical="center" indent="1"/>
    </xf>
    <xf numFmtId="194" fontId="3" fillId="0" borderId="27" xfId="8" applyNumberFormat="1" applyFont="1" applyBorder="1" applyAlignment="1">
      <alignment horizontal="center" vertical="center"/>
    </xf>
    <xf numFmtId="194" fontId="3" fillId="0" borderId="27" xfId="8" applyNumberFormat="1" applyFont="1" applyBorder="1" applyAlignment="1">
      <alignment vertical="center"/>
    </xf>
    <xf numFmtId="195" fontId="2" fillId="0" borderId="27" xfId="16" applyNumberFormat="1" applyFont="1" applyBorder="1" applyAlignment="1">
      <alignment horizontal="right" vertical="center"/>
    </xf>
    <xf numFmtId="203" fontId="3" fillId="0" borderId="27" xfId="16" applyNumberFormat="1" applyFont="1" applyBorder="1" applyAlignment="1">
      <alignment horizontal="center" vertical="center"/>
    </xf>
    <xf numFmtId="196" fontId="2" fillId="0" borderId="27" xfId="16" applyNumberFormat="1" applyFont="1" applyBorder="1" applyAlignment="1">
      <alignment horizontal="right" vertical="center"/>
    </xf>
    <xf numFmtId="183" fontId="3" fillId="0" borderId="27" xfId="16" applyNumberFormat="1" applyFont="1" applyBorder="1" applyAlignment="1">
      <alignment horizontal="center" vertical="center"/>
    </xf>
    <xf numFmtId="193" fontId="38" fillId="0" borderId="27" xfId="8" applyNumberFormat="1" applyFont="1" applyBorder="1" applyAlignment="1">
      <alignment horizontal="center" vertical="center"/>
    </xf>
    <xf numFmtId="196" fontId="38" fillId="0" borderId="27" xfId="8" applyNumberFormat="1" applyFont="1" applyBorder="1" applyAlignment="1">
      <alignment horizontal="right" vertical="center"/>
    </xf>
    <xf numFmtId="0" fontId="2" fillId="0" borderId="27" xfId="8" applyFont="1" applyBorder="1" applyAlignment="1">
      <alignment horizontal="left" vertical="center"/>
    </xf>
    <xf numFmtId="0" fontId="40" fillId="0" borderId="27" xfId="8" applyFont="1" applyBorder="1" applyAlignment="1">
      <alignment horizontal="left" vertical="center" indent="1"/>
    </xf>
    <xf numFmtId="203" fontId="38" fillId="0" borderId="27" xfId="8" applyNumberFormat="1" applyFont="1" applyBorder="1" applyAlignment="1">
      <alignment horizontal="right" vertical="center"/>
    </xf>
    <xf numFmtId="194" fontId="2" fillId="0" borderId="27" xfId="8" applyNumberFormat="1" applyFont="1" applyBorder="1" applyAlignment="1">
      <alignment horizontal="center" vertical="center"/>
    </xf>
    <xf numFmtId="196" fontId="2" fillId="0" borderId="27" xfId="8" applyNumberFormat="1" applyFont="1" applyBorder="1" applyAlignment="1">
      <alignment horizontal="right" vertical="center"/>
    </xf>
    <xf numFmtId="0" fontId="0" fillId="0" borderId="27" xfId="8" applyFont="1" applyBorder="1" applyAlignment="1">
      <alignment horizontal="left" vertical="center" indent="2"/>
    </xf>
    <xf numFmtId="196" fontId="3" fillId="0" borderId="27" xfId="8" applyNumberFormat="1" applyFont="1" applyBorder="1" applyAlignment="1">
      <alignment horizontal="right" vertical="center"/>
    </xf>
    <xf numFmtId="43" fontId="3" fillId="0" borderId="27" xfId="16" applyNumberFormat="1" applyFont="1" applyBorder="1" applyAlignment="1">
      <alignment horizontal="center" vertical="center"/>
    </xf>
    <xf numFmtId="10" fontId="14" fillId="5" borderId="28" xfId="1" applyNumberFormat="1" applyFont="1" applyFill="1" applyBorder="1" applyAlignment="1" applyProtection="1">
      <alignment horizontal="center" vertical="center"/>
      <protection locked="0"/>
    </xf>
    <xf numFmtId="0" fontId="14" fillId="10" borderId="11" xfId="0" applyFont="1" applyFill="1" applyBorder="1">
      <alignment vertical="center"/>
    </xf>
    <xf numFmtId="0" fontId="14" fillId="10" borderId="15" xfId="0" applyFont="1" applyFill="1" applyBorder="1">
      <alignment vertical="center"/>
    </xf>
    <xf numFmtId="0" fontId="14" fillId="10" borderId="12" xfId="0" applyFont="1" applyFill="1" applyBorder="1" applyAlignment="1">
      <alignment horizontal="center" vertical="center"/>
    </xf>
    <xf numFmtId="0" fontId="65" fillId="0" borderId="27" xfId="0" applyFont="1" applyFill="1" applyBorder="1" applyAlignment="1">
      <alignment horizontal="center" vertical="center"/>
    </xf>
    <xf numFmtId="0" fontId="65" fillId="0" borderId="27" xfId="0" applyFont="1" applyBorder="1" applyAlignment="1">
      <alignment horizontal="center" vertical="center"/>
    </xf>
    <xf numFmtId="0" fontId="65" fillId="0" borderId="27" xfId="0" applyFont="1" applyBorder="1" applyAlignment="1">
      <alignment vertical="center"/>
    </xf>
    <xf numFmtId="0" fontId="25" fillId="0" borderId="27" xfId="0" applyFont="1" applyFill="1" applyBorder="1" applyAlignment="1">
      <alignment vertical="center"/>
    </xf>
    <xf numFmtId="182" fontId="65" fillId="0" borderId="27" xfId="0" applyNumberFormat="1" applyFont="1" applyFill="1" applyBorder="1" applyAlignment="1">
      <alignment horizontal="center" vertical="center"/>
    </xf>
    <xf numFmtId="182" fontId="66" fillId="0" borderId="27" xfId="0" applyNumberFormat="1" applyFont="1" applyFill="1" applyBorder="1" applyAlignment="1">
      <alignment horizontal="right" vertical="center"/>
    </xf>
    <xf numFmtId="0" fontId="65" fillId="0" borderId="27" xfId="0" applyFont="1" applyFill="1" applyBorder="1" applyAlignment="1">
      <alignment vertical="center"/>
    </xf>
    <xf numFmtId="182" fontId="66" fillId="11" borderId="27" xfId="0" applyNumberFormat="1" applyFont="1" applyFill="1" applyBorder="1" applyAlignment="1">
      <alignment horizontal="right" vertical="center"/>
    </xf>
    <xf numFmtId="0" fontId="65" fillId="0" borderId="27" xfId="0" applyFont="1" applyBorder="1" applyAlignment="1">
      <alignment horizontal="left" vertical="center"/>
    </xf>
    <xf numFmtId="10" fontId="65" fillId="0" borderId="27" xfId="0" applyNumberFormat="1" applyFont="1" applyBorder="1" applyAlignment="1">
      <alignment vertical="center"/>
    </xf>
    <xf numFmtId="9" fontId="65" fillId="0" borderId="27" xfId="0" applyNumberFormat="1" applyFont="1" applyBorder="1" applyAlignment="1">
      <alignment vertical="center"/>
    </xf>
    <xf numFmtId="182" fontId="65" fillId="0" borderId="27" xfId="0" applyNumberFormat="1" applyFont="1" applyFill="1" applyBorder="1" applyAlignment="1">
      <alignment vertical="center"/>
    </xf>
    <xf numFmtId="0" fontId="25" fillId="0" borderId="27" xfId="0" applyFont="1" applyBorder="1" applyAlignment="1">
      <alignment horizontal="left" vertical="center"/>
    </xf>
    <xf numFmtId="184" fontId="65" fillId="0" borderId="27" xfId="0" applyNumberFormat="1" applyFont="1" applyBorder="1" applyAlignment="1">
      <alignment vertical="center"/>
    </xf>
    <xf numFmtId="182" fontId="65" fillId="0" borderId="27" xfId="0" applyNumberFormat="1" applyFont="1" applyBorder="1" applyAlignment="1">
      <alignment vertical="center"/>
    </xf>
    <xf numFmtId="0" fontId="20" fillId="0" borderId="19" xfId="0" quotePrefix="1" applyFont="1" applyBorder="1" applyAlignment="1">
      <alignment vertical="center"/>
    </xf>
    <xf numFmtId="0" fontId="7" fillId="10" borderId="29" xfId="0" applyFont="1" applyFill="1" applyBorder="1" applyAlignment="1">
      <alignment horizontal="center" vertical="center" wrapText="1"/>
    </xf>
    <xf numFmtId="0" fontId="20" fillId="10" borderId="30" xfId="0" applyFont="1" applyFill="1" applyBorder="1" applyAlignment="1">
      <alignment vertical="center"/>
    </xf>
    <xf numFmtId="0" fontId="14" fillId="10" borderId="31" xfId="0" applyFont="1" applyFill="1" applyBorder="1">
      <alignment vertical="center"/>
    </xf>
    <xf numFmtId="186" fontId="14" fillId="10" borderId="31" xfId="0" applyNumberFormat="1" applyFont="1" applyFill="1" applyBorder="1">
      <alignment vertical="center"/>
    </xf>
    <xf numFmtId="181" fontId="14" fillId="10" borderId="10" xfId="0" applyNumberFormat="1" applyFont="1" applyFill="1" applyBorder="1" applyAlignment="1">
      <alignment horizontal="center" vertical="center" wrapText="1"/>
    </xf>
    <xf numFmtId="181" fontId="14" fillId="10" borderId="10" xfId="1" applyNumberFormat="1" applyFont="1" applyFill="1" applyBorder="1" applyAlignment="1">
      <alignment horizontal="center" vertical="center" wrapText="1"/>
    </xf>
    <xf numFmtId="181" fontId="21" fillId="10" borderId="10" xfId="1" applyNumberFormat="1" applyFont="1" applyFill="1" applyBorder="1" applyAlignment="1">
      <alignment horizontal="center" vertical="center" wrapText="1"/>
    </xf>
    <xf numFmtId="181" fontId="21" fillId="10" borderId="10" xfId="0" applyNumberFormat="1" applyFont="1" applyFill="1" applyBorder="1" applyAlignment="1">
      <alignment horizontal="center" vertical="center" wrapText="1"/>
    </xf>
    <xf numFmtId="181" fontId="14" fillId="0" borderId="10" xfId="1" applyNumberFormat="1" applyFont="1" applyBorder="1" applyAlignment="1">
      <alignment horizontal="center" vertical="center" wrapText="1"/>
    </xf>
    <xf numFmtId="181" fontId="14" fillId="0" borderId="10" xfId="0" applyNumberFormat="1" applyFont="1" applyBorder="1" applyAlignment="1">
      <alignment horizontal="center" vertical="center" wrapText="1"/>
    </xf>
    <xf numFmtId="10" fontId="14" fillId="5" borderId="27" xfId="1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27" xfId="0" applyFont="1" applyFill="1" applyBorder="1" applyAlignment="1" applyProtection="1">
      <alignment horizontal="center" vertical="center"/>
    </xf>
    <xf numFmtId="186" fontId="14" fillId="10" borderId="10" xfId="0" applyNumberFormat="1" applyFont="1" applyFill="1" applyBorder="1" applyAlignment="1">
      <alignment horizontal="right" wrapText="1"/>
    </xf>
    <xf numFmtId="0" fontId="16" fillId="10" borderId="0" xfId="0" applyFont="1" applyFill="1">
      <alignment vertical="center"/>
    </xf>
    <xf numFmtId="0" fontId="20" fillId="10" borderId="19" xfId="0" applyFont="1" applyFill="1" applyBorder="1" applyAlignment="1">
      <alignment vertical="center"/>
    </xf>
    <xf numFmtId="0" fontId="8" fillId="10" borderId="10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25" fillId="10" borderId="10" xfId="0" applyFont="1" applyFill="1" applyBorder="1" applyAlignment="1">
      <alignment horizontal="justify" vertical="top" wrapText="1"/>
    </xf>
    <xf numFmtId="184" fontId="25" fillId="10" borderId="10" xfId="0" applyNumberFormat="1" applyFont="1" applyFill="1" applyBorder="1" applyAlignment="1">
      <alignment vertical="top" wrapText="1"/>
    </xf>
    <xf numFmtId="184" fontId="25" fillId="10" borderId="10" xfId="0" applyNumberFormat="1" applyFont="1" applyFill="1" applyBorder="1" applyAlignment="1">
      <alignment horizontal="right" vertical="top" wrapText="1"/>
    </xf>
    <xf numFmtId="184" fontId="26" fillId="10" borderId="10" xfId="0" applyNumberFormat="1" applyFont="1" applyFill="1" applyBorder="1" applyAlignment="1">
      <alignment horizontal="right" wrapText="1"/>
    </xf>
    <xf numFmtId="184" fontId="26" fillId="10" borderId="15" xfId="0" applyNumberFormat="1" applyFont="1" applyFill="1" applyBorder="1" applyAlignment="1">
      <alignment horizontal="right" wrapText="1"/>
    </xf>
    <xf numFmtId="0" fontId="14" fillId="10" borderId="11" xfId="0" quotePrefix="1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vertical="top" wrapText="1"/>
    </xf>
    <xf numFmtId="184" fontId="25" fillId="10" borderId="10" xfId="0" applyNumberFormat="1" applyFont="1" applyFill="1" applyBorder="1" applyAlignment="1">
      <alignment horizontal="center" vertical="top" wrapText="1"/>
    </xf>
    <xf numFmtId="0" fontId="25" fillId="10" borderId="10" xfId="0" quotePrefix="1" applyFont="1" applyFill="1" applyBorder="1" applyAlignment="1">
      <alignment horizontal="left" vertical="top" wrapText="1"/>
    </xf>
    <xf numFmtId="184" fontId="26" fillId="10" borderId="10" xfId="0" applyNumberFormat="1" applyFont="1" applyFill="1" applyBorder="1" applyAlignment="1">
      <alignment wrapText="1"/>
    </xf>
    <xf numFmtId="184" fontId="26" fillId="10" borderId="10" xfId="0" applyNumberFormat="1" applyFont="1" applyFill="1" applyBorder="1" applyAlignment="1">
      <alignment horizontal="center" wrapText="1"/>
    </xf>
    <xf numFmtId="184" fontId="26" fillId="10" borderId="15" xfId="0" applyNumberFormat="1" applyFont="1" applyFill="1" applyBorder="1" applyAlignment="1">
      <alignment horizontal="center" wrapText="1"/>
    </xf>
    <xf numFmtId="0" fontId="27" fillId="10" borderId="10" xfId="0" applyFont="1" applyFill="1" applyBorder="1" applyAlignment="1">
      <alignment horizontal="justify" vertical="top" wrapText="1"/>
    </xf>
    <xf numFmtId="0" fontId="16" fillId="10" borderId="11" xfId="0" applyFont="1" applyFill="1" applyBorder="1">
      <alignment vertical="center"/>
    </xf>
    <xf numFmtId="185" fontId="26" fillId="10" borderId="10" xfId="0" applyNumberFormat="1" applyFont="1" applyFill="1" applyBorder="1" applyAlignment="1">
      <alignment horizontal="right" wrapText="1"/>
    </xf>
    <xf numFmtId="185" fontId="26" fillId="10" borderId="15" xfId="0" applyNumberFormat="1" applyFont="1" applyFill="1" applyBorder="1" applyAlignment="1">
      <alignment horizontal="right" wrapText="1"/>
    </xf>
    <xf numFmtId="0" fontId="16" fillId="10" borderId="12" xfId="0" applyFont="1" applyFill="1" applyBorder="1">
      <alignment vertical="center"/>
    </xf>
    <xf numFmtId="0" fontId="27" fillId="10" borderId="13" xfId="0" applyFont="1" applyFill="1" applyBorder="1" applyAlignment="1">
      <alignment horizontal="justify" vertical="top" wrapText="1"/>
    </xf>
    <xf numFmtId="180" fontId="16" fillId="10" borderId="13" xfId="1" applyNumberFormat="1" applyFont="1" applyFill="1" applyBorder="1">
      <alignment vertical="center"/>
    </xf>
    <xf numFmtId="180" fontId="16" fillId="10" borderId="16" xfId="1" applyNumberFormat="1" applyFont="1" applyFill="1" applyBorder="1">
      <alignment vertical="center"/>
    </xf>
    <xf numFmtId="0" fontId="16" fillId="10" borderId="0" xfId="0" applyFont="1" applyFill="1" applyAlignment="1">
      <alignment horizontal="left" vertical="center"/>
    </xf>
    <xf numFmtId="182" fontId="16" fillId="10" borderId="0" xfId="0" applyNumberFormat="1" applyFont="1" applyFill="1">
      <alignment vertical="center"/>
    </xf>
    <xf numFmtId="182" fontId="7" fillId="10" borderId="0" xfId="0" applyNumberFormat="1" applyFont="1" applyFill="1" applyAlignment="1">
      <alignment horizontal="left" vertical="center"/>
    </xf>
    <xf numFmtId="184" fontId="16" fillId="10" borderId="0" xfId="0" applyNumberFormat="1" applyFont="1" applyFill="1">
      <alignment vertical="center"/>
    </xf>
    <xf numFmtId="180" fontId="16" fillId="10" borderId="0" xfId="0" applyNumberFormat="1" applyFont="1" applyFill="1">
      <alignment vertical="center"/>
    </xf>
    <xf numFmtId="0" fontId="14" fillId="10" borderId="0" xfId="0" applyFont="1" applyFill="1" applyAlignment="1">
      <alignment horizontal="left" vertical="center"/>
    </xf>
    <xf numFmtId="186" fontId="20" fillId="10" borderId="29" xfId="0" applyNumberFormat="1" applyFont="1" applyFill="1" applyBorder="1" applyAlignment="1">
      <alignment horizontal="center" vertical="center"/>
    </xf>
    <xf numFmtId="0" fontId="28" fillId="10" borderId="10" xfId="0" applyFont="1" applyFill="1" applyBorder="1" applyAlignment="1">
      <alignment horizontal="left" vertical="top" wrapText="1"/>
    </xf>
    <xf numFmtId="186" fontId="14" fillId="10" borderId="32" xfId="0" applyNumberFormat="1" applyFont="1" applyFill="1" applyBorder="1" applyAlignment="1">
      <alignment horizontal="right" wrapText="1"/>
    </xf>
    <xf numFmtId="0" fontId="8" fillId="10" borderId="10" xfId="0" applyFont="1" applyFill="1" applyBorder="1" applyAlignment="1">
      <alignment horizontal="justify" vertical="top" wrapText="1"/>
    </xf>
    <xf numFmtId="186" fontId="29" fillId="10" borderId="10" xfId="0" applyNumberFormat="1" applyFont="1" applyFill="1" applyBorder="1" applyAlignment="1">
      <alignment horizontal="right" wrapText="1"/>
    </xf>
    <xf numFmtId="186" fontId="14" fillId="10" borderId="15" xfId="0" applyNumberFormat="1" applyFont="1" applyFill="1" applyBorder="1" applyAlignment="1">
      <alignment horizontal="justify" wrapText="1"/>
    </xf>
    <xf numFmtId="0" fontId="28" fillId="10" borderId="0" xfId="0" applyFont="1" applyFill="1" applyBorder="1" applyAlignment="1">
      <alignment horizontal="left" vertical="top" wrapText="1"/>
    </xf>
    <xf numFmtId="186" fontId="14" fillId="10" borderId="0" xfId="0" applyNumberFormat="1" applyFont="1" applyFill="1">
      <alignment vertical="center"/>
    </xf>
    <xf numFmtId="186" fontId="30" fillId="10" borderId="10" xfId="16" applyNumberFormat="1" applyFont="1" applyFill="1" applyBorder="1" applyAlignment="1">
      <alignment vertical="center"/>
    </xf>
    <xf numFmtId="0" fontId="28" fillId="10" borderId="10" xfId="0" quotePrefix="1" applyFont="1" applyFill="1" applyBorder="1" applyAlignment="1">
      <alignment horizontal="left" vertical="top" wrapText="1"/>
    </xf>
    <xf numFmtId="0" fontId="14" fillId="10" borderId="33" xfId="0" applyFont="1" applyFill="1" applyBorder="1" applyAlignment="1">
      <alignment horizontal="center" vertical="center"/>
    </xf>
    <xf numFmtId="0" fontId="28" fillId="10" borderId="34" xfId="0" quotePrefix="1" applyFont="1" applyFill="1" applyBorder="1" applyAlignment="1">
      <alignment horizontal="left" vertical="top" wrapText="1"/>
    </xf>
    <xf numFmtId="186" fontId="14" fillId="10" borderId="34" xfId="0" applyNumberFormat="1" applyFont="1" applyFill="1" applyBorder="1" applyAlignment="1">
      <alignment horizontal="right" wrapText="1"/>
    </xf>
    <xf numFmtId="186" fontId="14" fillId="10" borderId="35" xfId="0" applyNumberFormat="1" applyFont="1" applyFill="1" applyBorder="1" applyAlignment="1">
      <alignment horizontal="justify" wrapText="1"/>
    </xf>
    <xf numFmtId="0" fontId="28" fillId="10" borderId="13" xfId="0" quotePrefix="1" applyFont="1" applyFill="1" applyBorder="1" applyAlignment="1">
      <alignment horizontal="left" vertical="top" wrapText="1"/>
    </xf>
    <xf numFmtId="186" fontId="30" fillId="10" borderId="13" xfId="16" applyNumberFormat="1" applyFont="1" applyFill="1" applyBorder="1" applyAlignment="1">
      <alignment vertical="center"/>
    </xf>
    <xf numFmtId="0" fontId="14" fillId="10" borderId="36" xfId="0" applyFont="1" applyFill="1" applyBorder="1">
      <alignment vertical="center"/>
    </xf>
    <xf numFmtId="0" fontId="20" fillId="10" borderId="36" xfId="0" applyFont="1" applyFill="1" applyBorder="1" applyAlignment="1">
      <alignment horizontal="right" vertical="top" wrapText="1"/>
    </xf>
    <xf numFmtId="0" fontId="28" fillId="10" borderId="36" xfId="0" applyFont="1" applyFill="1" applyBorder="1" applyAlignment="1">
      <alignment horizontal="center" vertical="top" wrapText="1"/>
    </xf>
    <xf numFmtId="0" fontId="20" fillId="10" borderId="36" xfId="0" applyFont="1" applyFill="1" applyBorder="1" applyAlignment="1">
      <alignment horizontal="center" vertical="top" wrapText="1"/>
    </xf>
    <xf numFmtId="0" fontId="28" fillId="10" borderId="0" xfId="0" applyFont="1" applyFill="1" applyBorder="1" applyAlignment="1">
      <alignment horizontal="right" vertical="top" wrapText="1"/>
    </xf>
    <xf numFmtId="0" fontId="28" fillId="10" borderId="0" xfId="0" quotePrefix="1" applyFont="1" applyFill="1" applyBorder="1" applyAlignment="1">
      <alignment horizontal="left" vertical="top"/>
    </xf>
    <xf numFmtId="0" fontId="28" fillId="10" borderId="0" xfId="0" applyFont="1" applyFill="1" applyBorder="1" applyAlignment="1">
      <alignment horizontal="left" vertical="top"/>
    </xf>
    <xf numFmtId="0" fontId="28" fillId="10" borderId="0" xfId="0" applyFont="1" applyFill="1" applyBorder="1" applyAlignment="1">
      <alignment horizontal="right" vertical="top"/>
    </xf>
    <xf numFmtId="0" fontId="14" fillId="10" borderId="0" xfId="0" applyFont="1" applyFill="1" applyBorder="1">
      <alignment vertical="center"/>
    </xf>
    <xf numFmtId="182" fontId="8" fillId="10" borderId="0" xfId="1" applyNumberFormat="1" applyFont="1" applyFill="1" applyBorder="1" applyAlignment="1">
      <alignment horizontal="right" vertical="top" wrapText="1"/>
    </xf>
    <xf numFmtId="182" fontId="20" fillId="10" borderId="0" xfId="0" applyNumberFormat="1" applyFont="1" applyFill="1" applyBorder="1" applyAlignment="1">
      <alignment horizontal="right" vertical="top" wrapText="1"/>
    </xf>
    <xf numFmtId="0" fontId="20" fillId="10" borderId="0" xfId="0" applyFont="1" applyFill="1" applyBorder="1" applyAlignment="1">
      <alignment horizontal="right" vertical="top" wrapText="1"/>
    </xf>
    <xf numFmtId="0" fontId="8" fillId="10" borderId="0" xfId="0" applyFont="1" applyFill="1" applyBorder="1" applyAlignment="1">
      <alignment horizontal="right" vertical="top" wrapText="1"/>
    </xf>
    <xf numFmtId="10" fontId="8" fillId="10" borderId="0" xfId="1" applyNumberFormat="1" applyFont="1" applyFill="1" applyBorder="1" applyAlignment="1">
      <alignment horizontal="left" vertical="top" wrapText="1"/>
    </xf>
    <xf numFmtId="184" fontId="14" fillId="10" borderId="0" xfId="0" applyNumberFormat="1" applyFont="1" applyFill="1" applyBorder="1" applyAlignment="1">
      <alignment horizontal="right" wrapText="1"/>
    </xf>
    <xf numFmtId="0" fontId="8" fillId="10" borderId="0" xfId="0" applyFont="1" applyFill="1" applyBorder="1" applyAlignment="1">
      <alignment horizontal="justify" vertical="top" wrapText="1"/>
    </xf>
    <xf numFmtId="188" fontId="30" fillId="10" borderId="0" xfId="16" applyNumberFormat="1" applyFont="1" applyFill="1" applyBorder="1" applyAlignment="1">
      <alignment vertical="center"/>
    </xf>
    <xf numFmtId="185" fontId="14" fillId="10" borderId="0" xfId="0" applyNumberFormat="1" applyFont="1" applyFill="1" applyBorder="1" applyAlignment="1">
      <alignment horizontal="right" wrapText="1"/>
    </xf>
    <xf numFmtId="0" fontId="20" fillId="10" borderId="0" xfId="0" applyFont="1" applyFill="1" applyBorder="1" applyAlignment="1">
      <alignment horizontal="center" vertical="top" wrapText="1"/>
    </xf>
    <xf numFmtId="0" fontId="14" fillId="10" borderId="10" xfId="0" applyFont="1" applyFill="1" applyBorder="1" applyAlignment="1">
      <alignment horizontal="center" vertical="center"/>
    </xf>
    <xf numFmtId="0" fontId="28" fillId="10" borderId="10" xfId="0" applyFont="1" applyFill="1" applyBorder="1" applyAlignment="1">
      <alignment horizontal="justify" vertical="top" wrapText="1"/>
    </xf>
    <xf numFmtId="0" fontId="28" fillId="10" borderId="34" xfId="0" applyFont="1" applyFill="1" applyBorder="1" applyAlignment="1">
      <alignment horizontal="justify" vertical="top" wrapText="1"/>
    </xf>
    <xf numFmtId="0" fontId="14" fillId="10" borderId="12" xfId="0" quotePrefix="1" applyFont="1" applyFill="1" applyBorder="1" applyAlignment="1">
      <alignment horizontal="center" vertical="center"/>
    </xf>
    <xf numFmtId="0" fontId="28" fillId="10" borderId="13" xfId="0" applyFont="1" applyFill="1" applyBorder="1" applyAlignment="1">
      <alignment horizontal="left" vertical="top" wrapText="1"/>
    </xf>
    <xf numFmtId="184" fontId="14" fillId="10" borderId="13" xfId="0" applyNumberFormat="1" applyFont="1" applyFill="1" applyBorder="1" applyAlignment="1">
      <alignment horizontal="right" wrapText="1"/>
    </xf>
    <xf numFmtId="185" fontId="14" fillId="10" borderId="16" xfId="0" applyNumberFormat="1" applyFont="1" applyFill="1" applyBorder="1" applyAlignment="1">
      <alignment horizontal="justify" wrapText="1"/>
    </xf>
    <xf numFmtId="0" fontId="28" fillId="10" borderId="36" xfId="0" quotePrefix="1" applyFont="1" applyFill="1" applyBorder="1" applyAlignment="1">
      <alignment horizontal="left" vertical="center"/>
    </xf>
    <xf numFmtId="0" fontId="28" fillId="10" borderId="36" xfId="0" applyFont="1" applyFill="1" applyBorder="1" applyAlignment="1">
      <alignment horizontal="left" vertical="center"/>
    </xf>
    <xf numFmtId="0" fontId="8" fillId="10" borderId="36" xfId="0" applyFont="1" applyFill="1" applyBorder="1" applyAlignment="1">
      <alignment horizontal="left" vertical="center"/>
    </xf>
    <xf numFmtId="10" fontId="8" fillId="10" borderId="36" xfId="0" applyNumberFormat="1" applyFont="1" applyFill="1" applyBorder="1" applyAlignment="1">
      <alignment horizontal="right" vertical="top" wrapText="1"/>
    </xf>
    <xf numFmtId="0" fontId="28" fillId="10" borderId="0" xfId="0" quotePrefix="1" applyFont="1" applyFill="1" applyBorder="1" applyAlignment="1">
      <alignment horizontal="left" vertical="center"/>
    </xf>
    <xf numFmtId="0" fontId="2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right" vertical="center"/>
    </xf>
    <xf numFmtId="10" fontId="8" fillId="10" borderId="0" xfId="1" applyNumberFormat="1" applyFont="1" applyFill="1" applyBorder="1" applyAlignment="1">
      <alignment horizontal="left" vertical="center"/>
    </xf>
    <xf numFmtId="1" fontId="14" fillId="10" borderId="0" xfId="0" applyNumberFormat="1" applyFont="1" applyFill="1" applyBorder="1" applyAlignment="1">
      <alignment horizontal="right" wrapText="1"/>
    </xf>
    <xf numFmtId="0" fontId="20" fillId="10" borderId="0" xfId="0" applyFont="1" applyFill="1">
      <alignment vertical="center"/>
    </xf>
    <xf numFmtId="0" fontId="20" fillId="10" borderId="0" xfId="0" applyFont="1" applyFill="1" applyAlignment="1">
      <alignment horizontal="left" vertical="center"/>
    </xf>
    <xf numFmtId="10" fontId="14" fillId="10" borderId="0" xfId="0" applyNumberFormat="1" applyFont="1" applyFill="1" applyAlignment="1">
      <alignment horizontal="left" vertical="center"/>
    </xf>
    <xf numFmtId="0" fontId="64" fillId="10" borderId="0" xfId="0" applyFont="1" applyFill="1">
      <alignment vertical="center"/>
    </xf>
    <xf numFmtId="0" fontId="14" fillId="10" borderId="0" xfId="0" applyFont="1" applyFill="1" applyBorder="1" applyAlignment="1">
      <alignment horizontal="left" vertical="center"/>
    </xf>
    <xf numFmtId="0" fontId="20" fillId="10" borderId="29" xfId="0" applyFont="1" applyFill="1" applyBorder="1" applyAlignment="1">
      <alignment horizontal="center" vertical="center"/>
    </xf>
    <xf numFmtId="0" fontId="20" fillId="10" borderId="19" xfId="0" applyFont="1" applyFill="1" applyBorder="1" applyAlignment="1">
      <alignment horizontal="center" vertical="center"/>
    </xf>
    <xf numFmtId="1" fontId="8" fillId="10" borderId="10" xfId="0" applyNumberFormat="1" applyFont="1" applyFill="1" applyBorder="1" applyAlignment="1">
      <alignment horizontal="center" vertical="center" wrapText="1"/>
    </xf>
    <xf numFmtId="186" fontId="26" fillId="10" borderId="11" xfId="0" applyNumberFormat="1" applyFont="1" applyFill="1" applyBorder="1" applyAlignment="1">
      <alignment horizontal="center" vertical="center" wrapText="1"/>
    </xf>
    <xf numFmtId="186" fontId="24" fillId="10" borderId="10" xfId="0" applyNumberFormat="1" applyFont="1" applyFill="1" applyBorder="1" applyAlignment="1">
      <alignment horizontal="center" vertical="center" wrapText="1"/>
    </xf>
    <xf numFmtId="1" fontId="14" fillId="10" borderId="10" xfId="0" applyNumberFormat="1" applyFont="1" applyFill="1" applyBorder="1" applyAlignment="1">
      <alignment horizontal="right" wrapText="1"/>
    </xf>
    <xf numFmtId="0" fontId="14" fillId="10" borderId="15" xfId="0" applyFont="1" applyFill="1" applyBorder="1" applyAlignment="1">
      <alignment horizontal="justify" wrapText="1"/>
    </xf>
    <xf numFmtId="181" fontId="31" fillId="10" borderId="11" xfId="0" applyNumberFormat="1" applyFont="1" applyFill="1" applyBorder="1" applyAlignment="1">
      <alignment horizontal="center" vertical="center" wrapText="1"/>
    </xf>
    <xf numFmtId="186" fontId="10" fillId="10" borderId="10" xfId="0" applyNumberFormat="1" applyFont="1" applyFill="1" applyBorder="1" applyAlignment="1">
      <alignment horizontal="center" vertical="center" wrapText="1"/>
    </xf>
    <xf numFmtId="184" fontId="14" fillId="10" borderId="10" xfId="0" applyNumberFormat="1" applyFont="1" applyFill="1" applyBorder="1">
      <alignment vertical="center"/>
    </xf>
    <xf numFmtId="181" fontId="10" fillId="10" borderId="11" xfId="0" applyNumberFormat="1" applyFont="1" applyFill="1" applyBorder="1" applyAlignment="1">
      <alignment horizontal="center" vertical="center" wrapText="1"/>
    </xf>
    <xf numFmtId="0" fontId="14" fillId="10" borderId="10" xfId="0" applyFont="1" applyFill="1" applyBorder="1">
      <alignment vertical="center"/>
    </xf>
    <xf numFmtId="186" fontId="10" fillId="10" borderId="11" xfId="0" applyNumberFormat="1" applyFont="1" applyFill="1" applyBorder="1" applyAlignment="1">
      <alignment horizontal="center" vertical="center" wrapText="1"/>
    </xf>
    <xf numFmtId="184" fontId="14" fillId="10" borderId="32" xfId="0" applyNumberFormat="1" applyFont="1" applyFill="1" applyBorder="1">
      <alignment vertical="center"/>
    </xf>
    <xf numFmtId="186" fontId="14" fillId="10" borderId="32" xfId="0" applyNumberFormat="1" applyFont="1" applyFill="1" applyBorder="1">
      <alignment vertical="center"/>
    </xf>
    <xf numFmtId="1" fontId="14" fillId="10" borderId="10" xfId="0" applyNumberFormat="1" applyFont="1" applyFill="1" applyBorder="1">
      <alignment vertical="center"/>
    </xf>
    <xf numFmtId="1" fontId="14" fillId="10" borderId="32" xfId="0" applyNumberFormat="1" applyFont="1" applyFill="1" applyBorder="1">
      <alignment vertical="center"/>
    </xf>
    <xf numFmtId="0" fontId="14" fillId="10" borderId="32" xfId="0" applyFont="1" applyFill="1" applyBorder="1">
      <alignment vertical="center"/>
    </xf>
    <xf numFmtId="186" fontId="26" fillId="10" borderId="12" xfId="0" applyNumberFormat="1" applyFont="1" applyFill="1" applyBorder="1" applyAlignment="1">
      <alignment horizontal="center" vertical="center" wrapText="1"/>
    </xf>
    <xf numFmtId="186" fontId="10" fillId="10" borderId="13" xfId="0" applyNumberFormat="1" applyFont="1" applyFill="1" applyBorder="1" applyAlignment="1">
      <alignment horizontal="center" vertical="center" wrapText="1"/>
    </xf>
    <xf numFmtId="186" fontId="14" fillId="10" borderId="13" xfId="0" applyNumberFormat="1" applyFont="1" applyFill="1" applyBorder="1">
      <alignment vertical="center"/>
    </xf>
    <xf numFmtId="0" fontId="14" fillId="10" borderId="16" xfId="0" applyFont="1" applyFill="1" applyBorder="1">
      <alignment vertical="center"/>
    </xf>
    <xf numFmtId="10" fontId="8" fillId="10" borderId="0" xfId="0" applyNumberFormat="1" applyFont="1" applyFill="1" applyBorder="1" applyAlignment="1">
      <alignment horizontal="right" vertical="top" wrapText="1"/>
    </xf>
    <xf numFmtId="204" fontId="14" fillId="5" borderId="28" xfId="0" applyNumberFormat="1" applyFont="1" applyFill="1" applyBorder="1" applyAlignment="1" applyProtection="1">
      <alignment horizontal="center" vertical="center" wrapText="1"/>
      <protection locked="0"/>
    </xf>
    <xf numFmtId="206" fontId="32" fillId="0" borderId="0" xfId="0" applyNumberFormat="1" applyFont="1">
      <alignment vertical="center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37" xfId="0" applyFont="1" applyBorder="1" applyAlignment="1" applyProtection="1">
      <alignment horizontal="center" vertical="center"/>
    </xf>
    <xf numFmtId="0" fontId="14" fillId="10" borderId="27" xfId="0" applyFont="1" applyFill="1" applyBorder="1" applyAlignment="1" applyProtection="1">
      <alignment horizontal="center" vertical="center"/>
    </xf>
    <xf numFmtId="0" fontId="14" fillId="10" borderId="27" xfId="0" applyFont="1" applyFill="1" applyBorder="1" applyAlignment="1" applyProtection="1">
      <alignment horizontal="left" vertical="center"/>
    </xf>
    <xf numFmtId="182" fontId="14" fillId="10" borderId="27" xfId="0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</xf>
    <xf numFmtId="0" fontId="14" fillId="0" borderId="0" xfId="0" applyFont="1" applyAlignment="1" applyProtection="1">
      <alignment horizontal="left" vertical="center"/>
      <protection locked="0"/>
    </xf>
    <xf numFmtId="0" fontId="14" fillId="12" borderId="27" xfId="0" applyFont="1" applyFill="1" applyBorder="1" applyAlignment="1" applyProtection="1">
      <alignment horizontal="center" vertical="center"/>
    </xf>
    <xf numFmtId="180" fontId="14" fillId="12" borderId="27" xfId="0" applyNumberFormat="1" applyFont="1" applyFill="1" applyBorder="1" applyAlignment="1" applyProtection="1">
      <alignment horizontal="center" vertical="center" wrapText="1"/>
      <protection locked="0"/>
    </xf>
    <xf numFmtId="185" fontId="14" fillId="12" borderId="27" xfId="0" applyNumberFormat="1" applyFont="1" applyFill="1" applyBorder="1" applyAlignment="1" applyProtection="1">
      <alignment horizontal="center" vertical="center" wrapText="1"/>
      <protection locked="0"/>
    </xf>
    <xf numFmtId="0" fontId="70" fillId="0" borderId="27" xfId="0" applyFont="1" applyBorder="1" applyAlignment="1" applyProtection="1">
      <alignment horizontal="center" vertical="center"/>
    </xf>
    <xf numFmtId="0" fontId="14" fillId="13" borderId="27" xfId="0" applyFont="1" applyFill="1" applyBorder="1" applyAlignment="1" applyProtection="1">
      <alignment horizontal="center" vertical="center"/>
    </xf>
    <xf numFmtId="185" fontId="14" fillId="13" borderId="27" xfId="0" applyNumberFormat="1" applyFont="1" applyFill="1" applyBorder="1" applyAlignment="1" applyProtection="1">
      <alignment horizontal="center" vertical="center" wrapText="1"/>
      <protection locked="0"/>
    </xf>
    <xf numFmtId="0" fontId="14" fillId="13" borderId="0" xfId="0" applyFont="1" applyFill="1" applyAlignment="1" applyProtection="1">
      <alignment horizontal="center" vertical="center"/>
      <protection locked="0"/>
    </xf>
    <xf numFmtId="0" fontId="71" fillId="0" borderId="27" xfId="0" applyFont="1" applyBorder="1" applyAlignment="1" applyProtection="1">
      <alignment horizontal="center" vertical="center"/>
    </xf>
    <xf numFmtId="0" fontId="20" fillId="0" borderId="27" xfId="0" applyFont="1" applyBorder="1" applyAlignment="1" applyProtection="1">
      <alignment horizontal="center" vertical="center"/>
    </xf>
    <xf numFmtId="185" fontId="14" fillId="5" borderId="27" xfId="1" applyNumberFormat="1" applyFont="1" applyFill="1" applyBorder="1" applyAlignment="1" applyProtection="1">
      <alignment horizontal="center" vertical="center"/>
      <protection locked="0"/>
    </xf>
    <xf numFmtId="0" fontId="20" fillId="11" borderId="27" xfId="0" applyFont="1" applyFill="1" applyBorder="1" applyAlignment="1" applyProtection="1">
      <alignment horizontal="center" vertical="center" wrapText="1"/>
    </xf>
    <xf numFmtId="0" fontId="14" fillId="0" borderId="27" xfId="0" applyFont="1" applyBorder="1" applyAlignment="1">
      <alignment vertical="center"/>
    </xf>
    <xf numFmtId="0" fontId="14" fillId="0" borderId="38" xfId="0" applyFont="1" applyBorder="1">
      <alignment vertical="center"/>
    </xf>
    <xf numFmtId="0" fontId="20" fillId="0" borderId="27" xfId="0" applyFont="1" applyBorder="1" applyAlignment="1">
      <alignment vertical="center"/>
    </xf>
    <xf numFmtId="209" fontId="14" fillId="10" borderId="10" xfId="0" applyNumberFormat="1" applyFont="1" applyFill="1" applyBorder="1" applyAlignment="1">
      <alignment horizontal="center" vertical="center" wrapText="1"/>
    </xf>
    <xf numFmtId="180" fontId="20" fillId="5" borderId="27" xfId="1" applyNumberFormat="1" applyFont="1" applyFill="1" applyBorder="1" applyAlignment="1" applyProtection="1">
      <alignment horizontal="center" vertical="center"/>
      <protection locked="0"/>
    </xf>
    <xf numFmtId="191" fontId="14" fillId="14" borderId="10" xfId="0" applyNumberFormat="1" applyFont="1" applyFill="1" applyBorder="1" applyAlignment="1">
      <alignment horizontal="right" wrapText="1"/>
    </xf>
    <xf numFmtId="192" fontId="14" fillId="14" borderId="10" xfId="0" applyNumberFormat="1" applyFont="1" applyFill="1" applyBorder="1" applyAlignment="1">
      <alignment horizontal="right" wrapText="1"/>
    </xf>
    <xf numFmtId="191" fontId="14" fillId="13" borderId="10" xfId="0" applyNumberFormat="1" applyFont="1" applyFill="1" applyBorder="1" applyAlignment="1">
      <alignment horizontal="right" wrapText="1"/>
    </xf>
    <xf numFmtId="0" fontId="14" fillId="0" borderId="39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181" fontId="14" fillId="10" borderId="0" xfId="0" applyNumberFormat="1" applyFont="1" applyFill="1" applyBorder="1" applyAlignment="1">
      <alignment horizontal="center" vertical="center" wrapText="1"/>
    </xf>
    <xf numFmtId="0" fontId="14" fillId="10" borderId="32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 wrapText="1"/>
    </xf>
    <xf numFmtId="181" fontId="14" fillId="10" borderId="13" xfId="0" applyNumberFormat="1" applyFont="1" applyFill="1" applyBorder="1" applyAlignment="1">
      <alignment horizontal="center" vertical="center" wrapText="1"/>
    </xf>
    <xf numFmtId="0" fontId="14" fillId="10" borderId="40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4" fillId="10" borderId="10" xfId="0" quotePrefix="1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85" fontId="14" fillId="12" borderId="10" xfId="0" applyNumberFormat="1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181" fontId="14" fillId="0" borderId="34" xfId="0" applyNumberFormat="1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181" fontId="14" fillId="0" borderId="0" xfId="0" applyNumberFormat="1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2" fontId="14" fillId="0" borderId="0" xfId="0" applyNumberFormat="1" applyFont="1" applyBorder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14" borderId="48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14" borderId="27" xfId="0" applyFont="1" applyFill="1" applyBorder="1" applyAlignment="1">
      <alignment horizontal="left" vertical="center" wrapText="1"/>
    </xf>
    <xf numFmtId="181" fontId="14" fillId="0" borderId="27" xfId="0" applyNumberFormat="1" applyFont="1" applyBorder="1" applyAlignment="1">
      <alignment horizontal="center" vertical="center" wrapText="1"/>
    </xf>
    <xf numFmtId="181" fontId="14" fillId="14" borderId="27" xfId="0" applyNumberFormat="1" applyFont="1" applyFill="1" applyBorder="1" applyAlignment="1">
      <alignment horizontal="center" vertical="center" wrapText="1"/>
    </xf>
    <xf numFmtId="181" fontId="14" fillId="13" borderId="27" xfId="0" applyNumberFormat="1" applyFont="1" applyFill="1" applyBorder="1" applyAlignment="1">
      <alignment horizontal="center" vertical="center" wrapText="1"/>
    </xf>
    <xf numFmtId="180" fontId="14" fillId="13" borderId="27" xfId="0" applyNumberFormat="1" applyFont="1" applyFill="1" applyBorder="1" applyAlignment="1">
      <alignment horizontal="center" vertical="center" wrapText="1"/>
    </xf>
    <xf numFmtId="0" fontId="14" fillId="10" borderId="49" xfId="0" applyFont="1" applyFill="1" applyBorder="1" applyAlignment="1">
      <alignment horizontal="center" vertical="center" wrapText="1"/>
    </xf>
    <xf numFmtId="0" fontId="14" fillId="10" borderId="17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 wrapText="1"/>
    </xf>
    <xf numFmtId="0" fontId="21" fillId="10" borderId="10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185" fontId="14" fillId="12" borderId="13" xfId="0" applyNumberFormat="1" applyFont="1" applyFill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192" fontId="14" fillId="14" borderId="27" xfId="0" applyNumberFormat="1" applyFont="1" applyFill="1" applyBorder="1" applyAlignment="1">
      <alignment horizontal="center" vertical="center" wrapText="1"/>
    </xf>
    <xf numFmtId="192" fontId="14" fillId="0" borderId="27" xfId="0" applyNumberFormat="1" applyFont="1" applyBorder="1" applyAlignment="1">
      <alignment horizontal="center" vertical="center" wrapText="1"/>
    </xf>
    <xf numFmtId="0" fontId="14" fillId="15" borderId="39" xfId="0" applyFont="1" applyFill="1" applyBorder="1" applyAlignment="1">
      <alignment horizontal="center" vertical="center" wrapText="1"/>
    </xf>
    <xf numFmtId="0" fontId="14" fillId="15" borderId="27" xfId="0" applyFont="1" applyFill="1" applyBorder="1" applyAlignment="1">
      <alignment horizontal="left" vertical="center" wrapText="1"/>
    </xf>
    <xf numFmtId="181" fontId="14" fillId="15" borderId="27" xfId="0" applyNumberFormat="1" applyFont="1" applyFill="1" applyBorder="1" applyAlignment="1">
      <alignment horizontal="center" vertical="center" wrapText="1"/>
    </xf>
    <xf numFmtId="0" fontId="14" fillId="15" borderId="48" xfId="0" applyFont="1" applyFill="1" applyBorder="1" applyAlignment="1">
      <alignment horizontal="center" vertical="center" wrapText="1"/>
    </xf>
    <xf numFmtId="0" fontId="73" fillId="15" borderId="27" xfId="0" applyFont="1" applyFill="1" applyBorder="1" applyAlignment="1">
      <alignment vertical="center" wrapText="1"/>
    </xf>
    <xf numFmtId="192" fontId="14" fillId="15" borderId="27" xfId="0" applyNumberFormat="1" applyFont="1" applyFill="1" applyBorder="1" applyAlignment="1">
      <alignment horizontal="center" vertical="center" wrapText="1"/>
    </xf>
    <xf numFmtId="0" fontId="72" fillId="15" borderId="48" xfId="0" applyFont="1" applyFill="1" applyBorder="1" applyAlignment="1">
      <alignment horizontal="center" vertical="center" wrapText="1"/>
    </xf>
    <xf numFmtId="0" fontId="14" fillId="13" borderId="28" xfId="0" applyFont="1" applyFill="1" applyBorder="1" applyAlignment="1" applyProtection="1">
      <alignment horizontal="center" vertical="center"/>
    </xf>
    <xf numFmtId="0" fontId="20" fillId="13" borderId="28" xfId="0" applyFont="1" applyFill="1" applyBorder="1" applyAlignment="1" applyProtection="1">
      <alignment horizontal="center" vertical="center"/>
    </xf>
    <xf numFmtId="10" fontId="14" fillId="13" borderId="0" xfId="1" applyNumberFormat="1" applyFont="1" applyFill="1" applyBorder="1" applyAlignment="1" applyProtection="1">
      <alignment horizontal="center" vertical="center" wrapText="1"/>
      <protection locked="0"/>
    </xf>
    <xf numFmtId="10" fontId="20" fillId="13" borderId="27" xfId="1" applyNumberFormat="1" applyFont="1" applyFill="1" applyBorder="1" applyAlignment="1" applyProtection="1">
      <alignment horizontal="center" vertical="center" wrapText="1"/>
      <protection locked="0"/>
    </xf>
    <xf numFmtId="184" fontId="14" fillId="5" borderId="28" xfId="0" applyNumberFormat="1" applyFont="1" applyFill="1" applyBorder="1" applyAlignment="1" applyProtection="1">
      <alignment horizontal="center" vertical="center" wrapText="1"/>
      <protection locked="0"/>
    </xf>
    <xf numFmtId="206" fontId="14" fillId="0" borderId="0" xfId="0" applyNumberFormat="1" applyFont="1">
      <alignment vertical="center"/>
    </xf>
    <xf numFmtId="0" fontId="14" fillId="0" borderId="5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 wrapText="1"/>
    </xf>
    <xf numFmtId="0" fontId="75" fillId="0" borderId="10" xfId="0" applyFont="1" applyBorder="1" applyAlignment="1">
      <alignment horizontal="center" vertical="center" wrapText="1"/>
    </xf>
    <xf numFmtId="0" fontId="20" fillId="16" borderId="27" xfId="0" applyFont="1" applyFill="1" applyBorder="1" applyAlignment="1" applyProtection="1">
      <alignment horizontal="center" vertical="center"/>
    </xf>
    <xf numFmtId="184" fontId="14" fillId="16" borderId="27" xfId="0" applyNumberFormat="1" applyFont="1" applyFill="1" applyBorder="1" applyAlignment="1" applyProtection="1">
      <alignment horizontal="center" vertical="center" wrapText="1"/>
      <protection locked="0"/>
    </xf>
    <xf numFmtId="182" fontId="14" fillId="10" borderId="0" xfId="0" applyNumberFormat="1" applyFont="1" applyFill="1">
      <alignment vertical="center"/>
    </xf>
    <xf numFmtId="182" fontId="28" fillId="10" borderId="0" xfId="0" applyNumberFormat="1" applyFont="1" applyFill="1" applyBorder="1" applyAlignment="1">
      <alignment horizontal="left" vertical="center"/>
    </xf>
    <xf numFmtId="0" fontId="20" fillId="0" borderId="27" xfId="0" applyFont="1" applyBorder="1" applyAlignment="1">
      <alignment horizontal="center" vertical="center" wrapText="1"/>
    </xf>
    <xf numFmtId="182" fontId="14" fillId="0" borderId="27" xfId="0" applyNumberFormat="1" applyFont="1" applyBorder="1" applyAlignment="1">
      <alignment horizontal="center" vertical="center" wrapText="1"/>
    </xf>
    <xf numFmtId="0" fontId="20" fillId="12" borderId="34" xfId="0" applyFont="1" applyFill="1" applyBorder="1" applyAlignment="1">
      <alignment horizontal="center" vertical="center" wrapText="1"/>
    </xf>
    <xf numFmtId="0" fontId="14" fillId="0" borderId="27" xfId="0" applyFont="1" applyBorder="1" applyAlignment="1" applyProtection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4" fontId="14" fillId="17" borderId="27" xfId="0" applyNumberFormat="1" applyFont="1" applyFill="1" applyBorder="1" applyAlignment="1" applyProtection="1">
      <alignment horizontal="center" vertical="center" wrapText="1"/>
      <protection locked="0"/>
    </xf>
    <xf numFmtId="0" fontId="77" fillId="17" borderId="27" xfId="0" applyFont="1" applyFill="1" applyBorder="1" applyAlignment="1" applyProtection="1">
      <alignment horizontal="center" vertical="center"/>
    </xf>
    <xf numFmtId="182" fontId="14" fillId="10" borderId="0" xfId="0" applyNumberFormat="1" applyFont="1" applyFill="1" applyAlignment="1">
      <alignment horizontal="left" vertical="center"/>
    </xf>
    <xf numFmtId="0" fontId="20" fillId="0" borderId="59" xfId="0" applyFont="1" applyBorder="1" applyAlignment="1">
      <alignment horizontal="center" vertical="center" wrapText="1"/>
    </xf>
    <xf numFmtId="180" fontId="14" fillId="0" borderId="59" xfId="0" applyNumberFormat="1" applyFont="1" applyBorder="1" applyAlignment="1">
      <alignment horizontal="center" vertical="center" wrapText="1"/>
    </xf>
    <xf numFmtId="10" fontId="14" fillId="14" borderId="27" xfId="1" applyNumberFormat="1" applyFont="1" applyFill="1" applyBorder="1" applyAlignment="1" applyProtection="1">
      <alignment horizontal="center" vertical="center" wrapText="1"/>
      <protection locked="0"/>
    </xf>
    <xf numFmtId="0" fontId="14" fillId="18" borderId="27" xfId="0" applyFont="1" applyFill="1" applyBorder="1" applyAlignment="1" applyProtection="1">
      <alignment horizontal="center" vertical="center"/>
      <protection locked="0"/>
    </xf>
    <xf numFmtId="185" fontId="14" fillId="18" borderId="2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62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69" fillId="0" borderId="27" xfId="0" applyFont="1" applyBorder="1" applyAlignment="1" applyProtection="1">
      <alignment horizontal="left" vertical="center" wrapText="1"/>
    </xf>
    <xf numFmtId="0" fontId="14" fillId="0" borderId="27" xfId="0" applyFont="1" applyBorder="1" applyAlignment="1" applyProtection="1">
      <alignment horizontal="left" vertical="center" wrapText="1"/>
    </xf>
    <xf numFmtId="0" fontId="20" fillId="0" borderId="27" xfId="0" applyFont="1" applyBorder="1" applyAlignment="1" applyProtection="1">
      <alignment horizontal="left" vertical="center" wrapText="1"/>
    </xf>
    <xf numFmtId="0" fontId="20" fillId="0" borderId="62" xfId="0" applyFont="1" applyBorder="1" applyAlignment="1" applyProtection="1">
      <alignment horizontal="center" vertical="center" wrapText="1"/>
    </xf>
    <xf numFmtId="0" fontId="14" fillId="0" borderId="28" xfId="0" applyFont="1" applyBorder="1" applyAlignment="1" applyProtection="1">
      <alignment horizontal="center" vertical="center" wrapText="1"/>
    </xf>
    <xf numFmtId="0" fontId="14" fillId="0" borderId="28" xfId="0" applyFont="1" applyBorder="1" applyAlignment="1" applyProtection="1">
      <alignment horizontal="left" vertical="center" wrapText="1"/>
    </xf>
    <xf numFmtId="0" fontId="14" fillId="0" borderId="63" xfId="0" applyFont="1" applyBorder="1" applyAlignment="1" applyProtection="1">
      <alignment horizontal="center" vertical="center" wrapText="1"/>
    </xf>
    <xf numFmtId="0" fontId="14" fillId="0" borderId="64" xfId="0" applyFont="1" applyBorder="1" applyAlignment="1" applyProtection="1">
      <alignment horizontal="center" vertical="center" wrapText="1"/>
    </xf>
    <xf numFmtId="0" fontId="14" fillId="0" borderId="65" xfId="0" applyFont="1" applyBorder="1" applyAlignment="1" applyProtection="1">
      <alignment horizontal="center" vertical="center" wrapText="1"/>
    </xf>
    <xf numFmtId="0" fontId="14" fillId="0" borderId="66" xfId="0" applyFont="1" applyBorder="1" applyAlignment="1" applyProtection="1">
      <alignment horizontal="center" vertical="center" wrapText="1"/>
    </xf>
    <xf numFmtId="0" fontId="14" fillId="0" borderId="67" xfId="0" applyFont="1" applyBorder="1" applyAlignment="1" applyProtection="1">
      <alignment horizontal="center" vertical="center" wrapText="1"/>
    </xf>
    <xf numFmtId="0" fontId="14" fillId="0" borderId="68" xfId="0" applyFont="1" applyBorder="1" applyAlignment="1" applyProtection="1">
      <alignment horizontal="center" vertical="center" wrapText="1"/>
    </xf>
    <xf numFmtId="0" fontId="67" fillId="11" borderId="27" xfId="0" applyFont="1" applyFill="1" applyBorder="1" applyAlignment="1" applyProtection="1">
      <alignment horizontal="center" vertical="center" wrapText="1"/>
    </xf>
    <xf numFmtId="0" fontId="67" fillId="11" borderId="27" xfId="0" applyFont="1" applyFill="1" applyBorder="1" applyAlignment="1" applyProtection="1">
      <alignment horizontal="center" vertical="center"/>
    </xf>
    <xf numFmtId="0" fontId="14" fillId="0" borderId="27" xfId="0" applyFont="1" applyBorder="1" applyAlignment="1" applyProtection="1">
      <alignment horizontal="left" vertical="center"/>
    </xf>
    <xf numFmtId="0" fontId="69" fillId="0" borderId="28" xfId="0" applyFont="1" applyBorder="1" applyAlignment="1" applyProtection="1">
      <alignment horizontal="left" vertical="center" wrapText="1"/>
    </xf>
    <xf numFmtId="0" fontId="69" fillId="0" borderId="38" xfId="0" applyFont="1" applyBorder="1" applyAlignment="1" applyProtection="1">
      <alignment horizontal="left" vertical="center" wrapText="1"/>
    </xf>
    <xf numFmtId="0" fontId="69" fillId="0" borderId="60" xfId="0" applyFont="1" applyBorder="1" applyAlignment="1" applyProtection="1">
      <alignment horizontal="left" vertical="center" wrapText="1"/>
    </xf>
    <xf numFmtId="0" fontId="69" fillId="0" borderId="61" xfId="0" applyFont="1" applyBorder="1" applyAlignment="1" applyProtection="1">
      <alignment horizontal="left" vertical="center" wrapText="1"/>
    </xf>
    <xf numFmtId="0" fontId="14" fillId="13" borderId="27" xfId="0" applyFont="1" applyFill="1" applyBorder="1" applyAlignment="1" applyProtection="1">
      <alignment horizontal="left" vertical="center" wrapText="1"/>
    </xf>
    <xf numFmtId="0" fontId="71" fillId="0" borderId="38" xfId="0" applyFont="1" applyBorder="1" applyAlignment="1" applyProtection="1">
      <alignment horizontal="left" vertical="center" wrapText="1"/>
    </xf>
    <xf numFmtId="0" fontId="20" fillId="0" borderId="60" xfId="0" applyFont="1" applyBorder="1" applyAlignment="1" applyProtection="1">
      <alignment horizontal="left" vertical="center" wrapText="1"/>
    </xf>
    <xf numFmtId="0" fontId="20" fillId="0" borderId="61" xfId="0" applyFont="1" applyBorder="1" applyAlignment="1" applyProtection="1">
      <alignment horizontal="left" vertical="center" wrapText="1"/>
    </xf>
    <xf numFmtId="0" fontId="20" fillId="0" borderId="28" xfId="0" applyFont="1" applyBorder="1" applyAlignment="1" applyProtection="1">
      <alignment horizontal="left" vertical="center" wrapText="1"/>
    </xf>
    <xf numFmtId="0" fontId="70" fillId="0" borderId="27" xfId="0" applyFont="1" applyBorder="1" applyAlignment="1" applyProtection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35" fillId="0" borderId="67" xfId="0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19" xfId="0" quotePrefix="1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left" vertical="center"/>
    </xf>
    <xf numFmtId="0" fontId="0" fillId="0" borderId="69" xfId="0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18" fillId="0" borderId="0" xfId="0" quotePrefix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8" fillId="10" borderId="0" xfId="0" applyFont="1" applyFill="1" applyBorder="1" applyAlignment="1">
      <alignment horizontal="center" vertical="top" wrapText="1"/>
    </xf>
    <xf numFmtId="0" fontId="17" fillId="10" borderId="0" xfId="0" applyFont="1" applyFill="1" applyAlignment="1">
      <alignment horizontal="left" vertical="center"/>
    </xf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7" xfId="0" quotePrefix="1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0" fillId="10" borderId="19" xfId="0" applyFill="1" applyBorder="1" applyAlignment="1">
      <alignment vertical="center"/>
    </xf>
    <xf numFmtId="0" fontId="0" fillId="10" borderId="69" xfId="0" applyFill="1" applyBorder="1" applyAlignment="1">
      <alignment vertical="center"/>
    </xf>
    <xf numFmtId="186" fontId="20" fillId="10" borderId="14" xfId="0" applyNumberFormat="1" applyFont="1" applyFill="1" applyBorder="1" applyAlignment="1">
      <alignment horizontal="center" vertical="center" wrapText="1"/>
    </xf>
    <xf numFmtId="186" fontId="20" fillId="10" borderId="15" xfId="0" applyNumberFormat="1" applyFont="1" applyFill="1" applyBorder="1" applyAlignment="1">
      <alignment horizontal="center" vertical="center" wrapText="1"/>
    </xf>
    <xf numFmtId="0" fontId="20" fillId="10" borderId="49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20" fillId="10" borderId="19" xfId="0" quotePrefix="1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0" fillId="10" borderId="70" xfId="0" applyFill="1" applyBorder="1" applyAlignment="1">
      <alignment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10" borderId="19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181" fontId="6" fillId="10" borderId="49" xfId="0" applyNumberFormat="1" applyFont="1" applyFill="1" applyBorder="1" applyAlignment="1">
      <alignment horizontal="center" vertical="center" wrapText="1"/>
    </xf>
    <xf numFmtId="181" fontId="6" fillId="10" borderId="11" xfId="0" applyNumberFormat="1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28" fillId="0" borderId="38" xfId="0" quotePrefix="1" applyFont="1" applyBorder="1" applyAlignment="1">
      <alignment horizontal="center" vertical="center"/>
    </xf>
    <xf numFmtId="0" fontId="28" fillId="0" borderId="60" xfId="0" quotePrefix="1" applyFont="1" applyBorder="1" applyAlignment="1">
      <alignment horizontal="center" vertical="center"/>
    </xf>
    <xf numFmtId="0" fontId="28" fillId="0" borderId="61" xfId="0" quotePrefix="1" applyFont="1" applyBorder="1" applyAlignment="1">
      <alignment horizontal="center" vertical="center"/>
    </xf>
  </cellXfs>
  <cellStyles count="21">
    <cellStyle name="百分比" xfId="1" builtinId="5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7" builtinId="27" customBuiltin="1"/>
    <cellStyle name="常规" xfId="0" builtinId="0"/>
    <cellStyle name="常规_韶关经济分析1122（基本方案）" xfId="8" xr:uid="{B6B39567-EDD8-4978-9E2E-28F3F6F55C71}"/>
    <cellStyle name="好" xfId="9" builtinId="26" customBuiltin="1"/>
    <cellStyle name="汇总" xfId="10" builtinId="25" customBuiltin="1"/>
    <cellStyle name="计算" xfId="11" builtinId="22" customBuiltin="1"/>
    <cellStyle name="检查单元格" xfId="12" builtinId="23" customBuiltin="1"/>
    <cellStyle name="解释性文本" xfId="13" builtinId="53" customBuiltin="1"/>
    <cellStyle name="警告文本" xfId="14" builtinId="11" customBuiltin="1"/>
    <cellStyle name="链接单元格" xfId="15" builtinId="24" customBuiltin="1"/>
    <cellStyle name="千位分隔" xfId="16" builtinId="3"/>
    <cellStyle name="适中" xfId="17" builtinId="28" customBuiltin="1"/>
    <cellStyle name="输出" xfId="18" builtinId="21" customBuiltin="1"/>
    <cellStyle name="输入" xfId="19" builtinId="20" customBuiltin="1"/>
    <cellStyle name="注释" xfId="20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2804-2377-40C7-B873-551FBC5BA5F3}">
  <dimension ref="A1:AB79"/>
  <sheetViews>
    <sheetView workbookViewId="0">
      <pane ySplit="1" topLeftCell="A58" activePane="bottomLeft" state="frozenSplit"/>
      <selection pane="bottomLeft" activeCell="D6" sqref="D6"/>
    </sheetView>
  </sheetViews>
  <sheetFormatPr defaultColWidth="9" defaultRowHeight="22.95" customHeight="1" x14ac:dyDescent="0.3"/>
  <cols>
    <col min="1" max="1" width="5.2109375" style="383" bestFit="1" customWidth="1"/>
    <col min="2" max="2" width="47.85546875" style="383" customWidth="1"/>
    <col min="3" max="3" width="9.7109375" style="378" bestFit="1" customWidth="1"/>
    <col min="4" max="4" width="9" style="378" customWidth="1"/>
    <col min="5" max="11" width="9" style="384" customWidth="1"/>
    <col min="12" max="12" width="17.7109375" style="384" customWidth="1"/>
    <col min="13" max="16384" width="9" style="378"/>
  </cols>
  <sheetData>
    <row r="1" spans="1:28" ht="22.95" customHeight="1" x14ac:dyDescent="0.3">
      <c r="A1" s="194" t="s">
        <v>293</v>
      </c>
      <c r="B1" s="194" t="s">
        <v>294</v>
      </c>
      <c r="C1" s="377" t="s">
        <v>295</v>
      </c>
      <c r="D1" s="194" t="s">
        <v>296</v>
      </c>
      <c r="E1" s="515" t="s">
        <v>297</v>
      </c>
      <c r="F1" s="515"/>
      <c r="G1" s="515"/>
      <c r="H1" s="515"/>
      <c r="I1" s="515"/>
      <c r="J1" s="515"/>
      <c r="K1" s="515"/>
      <c r="L1" s="515"/>
    </row>
    <row r="2" spans="1:28" ht="22.95" customHeight="1" x14ac:dyDescent="0.3">
      <c r="A2" s="194">
        <v>1</v>
      </c>
      <c r="B2" s="393" t="s">
        <v>553</v>
      </c>
      <c r="C2" s="497">
        <f>15</f>
        <v>15</v>
      </c>
      <c r="D2" s="194" t="s">
        <v>298</v>
      </c>
      <c r="E2" s="502" t="s">
        <v>299</v>
      </c>
      <c r="F2" s="502"/>
      <c r="G2" s="502"/>
      <c r="H2" s="502"/>
      <c r="I2" s="502"/>
      <c r="J2" s="502"/>
      <c r="K2" s="502"/>
      <c r="L2" s="502"/>
    </row>
    <row r="3" spans="1:28" ht="34.950000000000003" customHeight="1" x14ac:dyDescent="0.3">
      <c r="A3" s="194">
        <v>2</v>
      </c>
      <c r="B3" s="395" t="s">
        <v>534</v>
      </c>
      <c r="C3" s="498">
        <v>1145</v>
      </c>
      <c r="D3" s="194" t="s">
        <v>300</v>
      </c>
      <c r="E3" s="502" t="s">
        <v>301</v>
      </c>
      <c r="F3" s="502"/>
      <c r="G3" s="502"/>
      <c r="H3" s="502"/>
      <c r="I3" s="502"/>
      <c r="J3" s="502"/>
      <c r="K3" s="502"/>
      <c r="L3" s="502"/>
    </row>
    <row r="4" spans="1:28" ht="22.95" customHeight="1" x14ac:dyDescent="0.3">
      <c r="A4" s="194"/>
      <c r="B4" s="194" t="s">
        <v>302</v>
      </c>
      <c r="C4" s="176">
        <v>2020</v>
      </c>
      <c r="D4" s="176">
        <v>2021</v>
      </c>
      <c r="E4" s="176">
        <v>2022</v>
      </c>
      <c r="F4" s="176">
        <v>2023</v>
      </c>
      <c r="G4" s="176">
        <v>2024</v>
      </c>
      <c r="H4" s="176">
        <v>2025</v>
      </c>
      <c r="I4" s="176">
        <v>2026</v>
      </c>
      <c r="J4" s="176">
        <v>2027</v>
      </c>
      <c r="K4" s="176">
        <v>2028</v>
      </c>
      <c r="L4" s="176">
        <v>2029</v>
      </c>
      <c r="M4" s="176">
        <v>2030</v>
      </c>
      <c r="N4" s="176">
        <v>2031</v>
      </c>
      <c r="O4" s="176">
        <v>2032</v>
      </c>
      <c r="P4" s="176">
        <v>2033</v>
      </c>
      <c r="Q4" s="176">
        <v>2034</v>
      </c>
      <c r="R4" s="176">
        <v>2035</v>
      </c>
      <c r="S4" s="176">
        <v>2036</v>
      </c>
      <c r="T4" s="176">
        <v>2037</v>
      </c>
      <c r="U4" s="176">
        <v>2038</v>
      </c>
      <c r="V4" s="176">
        <v>2039</v>
      </c>
      <c r="W4" s="176">
        <v>2040</v>
      </c>
      <c r="X4" s="176">
        <v>2041</v>
      </c>
      <c r="Y4" s="176">
        <v>2042</v>
      </c>
      <c r="Z4" s="176">
        <v>2043</v>
      </c>
      <c r="AA4" s="176">
        <v>2044</v>
      </c>
      <c r="AB4" s="176">
        <v>2045</v>
      </c>
    </row>
    <row r="5" spans="1:28" ht="22.95" customHeight="1" x14ac:dyDescent="0.3">
      <c r="A5" s="194">
        <v>3</v>
      </c>
      <c r="B5" s="194" t="s">
        <v>303</v>
      </c>
      <c r="C5" s="176">
        <v>0</v>
      </c>
      <c r="D5" s="496">
        <v>0.97499999999999998</v>
      </c>
      <c r="E5" s="496">
        <v>0.97</v>
      </c>
      <c r="F5" s="496">
        <v>0.96499999999999997</v>
      </c>
      <c r="G5" s="496">
        <v>0.96</v>
      </c>
      <c r="H5" s="496">
        <v>0.95499999999999996</v>
      </c>
      <c r="I5" s="496">
        <v>0.95</v>
      </c>
      <c r="J5" s="496">
        <v>0.94499999999999995</v>
      </c>
      <c r="K5" s="496">
        <v>0.94</v>
      </c>
      <c r="L5" s="496">
        <v>0.93500000000000005</v>
      </c>
      <c r="M5" s="496">
        <v>0.93</v>
      </c>
      <c r="N5" s="496">
        <v>0.92500000000000004</v>
      </c>
      <c r="O5" s="496">
        <v>0.92</v>
      </c>
      <c r="P5" s="496">
        <v>0.91500000000000004</v>
      </c>
      <c r="Q5" s="496">
        <v>0.91</v>
      </c>
      <c r="R5" s="496">
        <v>0.90500000000000003</v>
      </c>
      <c r="S5" s="496">
        <v>0.9</v>
      </c>
      <c r="T5" s="496">
        <v>0.89500000000000002</v>
      </c>
      <c r="U5" s="496">
        <v>0.89</v>
      </c>
      <c r="V5" s="496">
        <v>0.88500000000000001</v>
      </c>
      <c r="W5" s="496">
        <v>0.88</v>
      </c>
      <c r="X5" s="496">
        <v>0.875</v>
      </c>
      <c r="Y5" s="496">
        <v>0.87</v>
      </c>
      <c r="Z5" s="496">
        <v>0.86499999999999999</v>
      </c>
      <c r="AA5" s="496">
        <v>0.86</v>
      </c>
      <c r="AB5" s="496">
        <v>0.85499999999999998</v>
      </c>
    </row>
    <row r="6" spans="1:28" s="261" customFormat="1" ht="22.95" customHeight="1" x14ac:dyDescent="0.3">
      <c r="A6" s="194">
        <v>4</v>
      </c>
      <c r="B6" s="194" t="s">
        <v>304</v>
      </c>
      <c r="C6" s="176">
        <v>0</v>
      </c>
      <c r="D6" s="260">
        <f>100%*0.95</f>
        <v>0.95</v>
      </c>
      <c r="E6" s="260">
        <v>1</v>
      </c>
      <c r="F6" s="260">
        <v>1</v>
      </c>
      <c r="G6" s="260">
        <v>1</v>
      </c>
      <c r="H6" s="260">
        <v>1</v>
      </c>
      <c r="I6" s="260">
        <v>1</v>
      </c>
      <c r="J6" s="260">
        <v>1</v>
      </c>
      <c r="K6" s="260">
        <v>1</v>
      </c>
      <c r="L6" s="260">
        <v>1</v>
      </c>
      <c r="M6" s="260">
        <v>1</v>
      </c>
      <c r="N6" s="260">
        <v>1</v>
      </c>
      <c r="O6" s="260">
        <v>1</v>
      </c>
      <c r="P6" s="260">
        <v>1</v>
      </c>
      <c r="Q6" s="260">
        <v>1</v>
      </c>
      <c r="R6" s="260">
        <v>1</v>
      </c>
      <c r="S6" s="260">
        <v>1</v>
      </c>
      <c r="T6" s="260">
        <v>1</v>
      </c>
      <c r="U6" s="260">
        <v>1</v>
      </c>
      <c r="V6" s="260">
        <v>1</v>
      </c>
      <c r="W6" s="260">
        <v>1</v>
      </c>
      <c r="X6" s="260">
        <v>1</v>
      </c>
      <c r="Y6" s="260">
        <v>1</v>
      </c>
      <c r="Z6" s="260">
        <v>1</v>
      </c>
      <c r="AA6" s="260">
        <v>1</v>
      </c>
      <c r="AB6" s="260">
        <v>1</v>
      </c>
    </row>
    <row r="7" spans="1:28" ht="22.95" customHeight="1" x14ac:dyDescent="0.3">
      <c r="A7" s="194">
        <v>5</v>
      </c>
      <c r="B7" s="393" t="s">
        <v>408</v>
      </c>
      <c r="C7" s="183">
        <f>SUM(损益!G5:AE5)/25/参数表!C2</f>
        <v>1045.4422500000001</v>
      </c>
      <c r="D7" s="379" t="s">
        <v>305</v>
      </c>
      <c r="E7" s="516" t="s">
        <v>384</v>
      </c>
      <c r="F7" s="506"/>
      <c r="G7" s="506"/>
      <c r="H7" s="506"/>
      <c r="I7" s="506"/>
      <c r="J7" s="506"/>
      <c r="K7" s="506"/>
      <c r="L7" s="506"/>
    </row>
    <row r="8" spans="1:28" ht="30.65" customHeight="1" x14ac:dyDescent="0.3">
      <c r="A8" s="194">
        <v>6</v>
      </c>
      <c r="B8" s="194" t="s">
        <v>306</v>
      </c>
      <c r="C8" s="178">
        <f>C9+C11</f>
        <v>0.40100000000000002</v>
      </c>
      <c r="D8" s="194" t="s">
        <v>307</v>
      </c>
      <c r="E8" s="503" t="s">
        <v>407</v>
      </c>
      <c r="F8" s="502"/>
      <c r="G8" s="502"/>
      <c r="H8" s="502"/>
      <c r="I8" s="502"/>
      <c r="J8" s="502"/>
      <c r="K8" s="502"/>
      <c r="L8" s="502"/>
    </row>
    <row r="9" spans="1:28" ht="29.25" customHeight="1" x14ac:dyDescent="0.3">
      <c r="A9" s="194">
        <v>6.1</v>
      </c>
      <c r="B9" s="194" t="s">
        <v>308</v>
      </c>
      <c r="C9" s="375">
        <v>0.40100000000000002</v>
      </c>
      <c r="D9" s="194" t="s">
        <v>307</v>
      </c>
      <c r="E9" s="503" t="s">
        <v>551</v>
      </c>
      <c r="F9" s="502"/>
      <c r="G9" s="502"/>
      <c r="H9" s="502"/>
      <c r="I9" s="502"/>
      <c r="J9" s="502"/>
      <c r="K9" s="502"/>
      <c r="L9" s="502"/>
    </row>
    <row r="10" spans="1:28" ht="29.25" customHeight="1" x14ac:dyDescent="0.3">
      <c r="A10" s="194">
        <v>6.2</v>
      </c>
      <c r="B10" s="393" t="s">
        <v>550</v>
      </c>
      <c r="C10" s="375">
        <v>0.39</v>
      </c>
      <c r="D10" s="194" t="s">
        <v>307</v>
      </c>
      <c r="E10" s="503" t="s">
        <v>552</v>
      </c>
      <c r="F10" s="502"/>
      <c r="G10" s="502"/>
      <c r="H10" s="502"/>
      <c r="I10" s="502"/>
      <c r="J10" s="502"/>
      <c r="K10" s="502"/>
      <c r="L10" s="502"/>
    </row>
    <row r="11" spans="1:28" ht="70.5" hidden="1" customHeight="1" x14ac:dyDescent="0.3">
      <c r="A11" s="194">
        <v>6.3</v>
      </c>
      <c r="B11" s="194" t="s">
        <v>309</v>
      </c>
      <c r="C11" s="375">
        <v>0</v>
      </c>
      <c r="D11" s="194" t="s">
        <v>307</v>
      </c>
      <c r="E11" s="503" t="s">
        <v>539</v>
      </c>
      <c r="F11" s="502"/>
      <c r="G11" s="502"/>
      <c r="H11" s="502"/>
      <c r="I11" s="502"/>
      <c r="J11" s="502"/>
      <c r="K11" s="502"/>
      <c r="L11" s="502"/>
    </row>
    <row r="12" spans="1:28" ht="22.95" hidden="1" customHeight="1" x14ac:dyDescent="0.3">
      <c r="A12" s="499">
        <v>6.4</v>
      </c>
      <c r="B12" s="499" t="s">
        <v>310</v>
      </c>
      <c r="C12" s="194">
        <f>C4</f>
        <v>2020</v>
      </c>
      <c r="D12" s="194">
        <f t="shared" ref="D12:AB12" si="0">D4</f>
        <v>2021</v>
      </c>
      <c r="E12" s="194">
        <f t="shared" si="0"/>
        <v>2022</v>
      </c>
      <c r="F12" s="194">
        <f t="shared" si="0"/>
        <v>2023</v>
      </c>
      <c r="G12" s="194">
        <f t="shared" si="0"/>
        <v>2024</v>
      </c>
      <c r="H12" s="194">
        <f t="shared" si="0"/>
        <v>2025</v>
      </c>
      <c r="I12" s="194">
        <f t="shared" si="0"/>
        <v>2026</v>
      </c>
      <c r="J12" s="194">
        <f t="shared" si="0"/>
        <v>2027</v>
      </c>
      <c r="K12" s="194">
        <f t="shared" si="0"/>
        <v>2028</v>
      </c>
      <c r="L12" s="194">
        <f t="shared" si="0"/>
        <v>2029</v>
      </c>
      <c r="M12" s="194">
        <f t="shared" si="0"/>
        <v>2030</v>
      </c>
      <c r="N12" s="194">
        <f t="shared" si="0"/>
        <v>2031</v>
      </c>
      <c r="O12" s="194">
        <f t="shared" si="0"/>
        <v>2032</v>
      </c>
      <c r="P12" s="194">
        <f t="shared" si="0"/>
        <v>2033</v>
      </c>
      <c r="Q12" s="194">
        <f t="shared" si="0"/>
        <v>2034</v>
      </c>
      <c r="R12" s="194">
        <f t="shared" si="0"/>
        <v>2035</v>
      </c>
      <c r="S12" s="194">
        <f t="shared" si="0"/>
        <v>2036</v>
      </c>
      <c r="T12" s="194">
        <f t="shared" si="0"/>
        <v>2037</v>
      </c>
      <c r="U12" s="194">
        <f t="shared" si="0"/>
        <v>2038</v>
      </c>
      <c r="V12" s="194">
        <f t="shared" si="0"/>
        <v>2039</v>
      </c>
      <c r="W12" s="194">
        <f t="shared" si="0"/>
        <v>2040</v>
      </c>
      <c r="X12" s="194">
        <f t="shared" si="0"/>
        <v>2041</v>
      </c>
      <c r="Y12" s="194">
        <f t="shared" si="0"/>
        <v>2042</v>
      </c>
      <c r="Z12" s="194">
        <f t="shared" si="0"/>
        <v>2043</v>
      </c>
      <c r="AA12" s="194">
        <f t="shared" si="0"/>
        <v>2044</v>
      </c>
      <c r="AB12" s="194">
        <f t="shared" si="0"/>
        <v>2045</v>
      </c>
    </row>
    <row r="13" spans="1:28" ht="22.95" hidden="1" customHeight="1" x14ac:dyDescent="0.3">
      <c r="A13" s="500"/>
      <c r="B13" s="500"/>
      <c r="C13" s="375"/>
      <c r="D13" s="260">
        <v>0</v>
      </c>
      <c r="E13" s="260">
        <v>2</v>
      </c>
      <c r="F13" s="260">
        <v>1</v>
      </c>
      <c r="G13" s="260">
        <v>1</v>
      </c>
      <c r="H13" s="260">
        <v>1</v>
      </c>
      <c r="I13" s="260">
        <v>1</v>
      </c>
      <c r="J13" s="260">
        <v>1</v>
      </c>
      <c r="K13" s="260">
        <v>1</v>
      </c>
      <c r="L13" s="260">
        <v>1</v>
      </c>
      <c r="M13" s="260">
        <v>1</v>
      </c>
      <c r="N13" s="260">
        <v>1</v>
      </c>
      <c r="O13" s="260">
        <v>1</v>
      </c>
      <c r="P13" s="260">
        <v>1</v>
      </c>
      <c r="Q13" s="260">
        <v>1</v>
      </c>
      <c r="R13" s="260">
        <v>1</v>
      </c>
      <c r="S13" s="260">
        <v>1</v>
      </c>
      <c r="T13" s="260">
        <v>1</v>
      </c>
      <c r="U13" s="260">
        <v>1</v>
      </c>
      <c r="V13" s="260">
        <v>1</v>
      </c>
      <c r="W13" s="260">
        <v>1</v>
      </c>
      <c r="X13" s="260">
        <v>1</v>
      </c>
      <c r="Y13" s="260">
        <v>1</v>
      </c>
      <c r="Z13" s="260">
        <v>1</v>
      </c>
      <c r="AA13" s="260">
        <v>1</v>
      </c>
      <c r="AB13" s="260">
        <v>1</v>
      </c>
    </row>
    <row r="14" spans="1:28" s="391" customFormat="1" ht="48" customHeight="1" x14ac:dyDescent="0.3">
      <c r="A14" s="472">
        <v>6.5</v>
      </c>
      <c r="B14" s="473" t="s">
        <v>554</v>
      </c>
      <c r="C14" s="476">
        <v>1100</v>
      </c>
      <c r="D14" s="475" t="s">
        <v>538</v>
      </c>
      <c r="E14" s="520" t="s">
        <v>540</v>
      </c>
      <c r="F14" s="520"/>
      <c r="G14" s="520"/>
      <c r="H14" s="520"/>
      <c r="I14" s="520"/>
      <c r="J14" s="520"/>
      <c r="K14" s="520"/>
      <c r="L14" s="520"/>
      <c r="M14" s="474"/>
      <c r="N14" s="474"/>
      <c r="O14" s="474"/>
      <c r="P14" s="474"/>
      <c r="Q14" s="474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</row>
    <row r="15" spans="1:28" ht="22.95" customHeight="1" x14ac:dyDescent="0.3">
      <c r="A15" s="194">
        <v>7</v>
      </c>
      <c r="B15" s="194" t="s">
        <v>311</v>
      </c>
      <c r="C15" s="183">
        <f>C16+C17+C18+C22+C68</f>
        <v>56315.741000000009</v>
      </c>
      <c r="D15" s="194" t="s">
        <v>312</v>
      </c>
      <c r="E15" s="517" t="s">
        <v>537</v>
      </c>
      <c r="F15" s="518"/>
      <c r="G15" s="518"/>
      <c r="H15" s="518"/>
      <c r="I15" s="518"/>
      <c r="J15" s="518"/>
      <c r="K15" s="518"/>
      <c r="L15" s="519"/>
    </row>
    <row r="16" spans="1:28" ht="22.95" customHeight="1" x14ac:dyDescent="0.3">
      <c r="A16" s="194">
        <v>7.1</v>
      </c>
      <c r="B16" s="194" t="s">
        <v>313</v>
      </c>
      <c r="C16" s="498">
        <v>10046.370000000001</v>
      </c>
      <c r="D16" s="194" t="s">
        <v>314</v>
      </c>
      <c r="E16" s="501" t="s">
        <v>386</v>
      </c>
      <c r="F16" s="502"/>
      <c r="G16" s="502"/>
      <c r="H16" s="502"/>
      <c r="I16" s="502"/>
      <c r="J16" s="502"/>
      <c r="K16" s="502"/>
      <c r="L16" s="502"/>
    </row>
    <row r="17" spans="1:12" ht="22.95" customHeight="1" x14ac:dyDescent="0.3">
      <c r="A17" s="194">
        <v>7.2</v>
      </c>
      <c r="B17" s="194" t="s">
        <v>315</v>
      </c>
      <c r="C17" s="498">
        <v>40042.42</v>
      </c>
      <c r="D17" s="194" t="s">
        <v>312</v>
      </c>
      <c r="E17" s="501" t="s">
        <v>386</v>
      </c>
      <c r="F17" s="502"/>
      <c r="G17" s="502"/>
      <c r="H17" s="502"/>
      <c r="I17" s="502"/>
      <c r="J17" s="502"/>
      <c r="K17" s="502"/>
      <c r="L17" s="502"/>
    </row>
    <row r="18" spans="1:12" ht="32.25" customHeight="1" x14ac:dyDescent="0.3">
      <c r="A18" s="194">
        <v>7.3</v>
      </c>
      <c r="B18" s="194" t="s">
        <v>316</v>
      </c>
      <c r="C18" s="498">
        <f>2281.33+C20</f>
        <v>5281.33</v>
      </c>
      <c r="D18" s="194" t="s">
        <v>317</v>
      </c>
      <c r="E18" s="503" t="s">
        <v>414</v>
      </c>
      <c r="F18" s="502"/>
      <c r="G18" s="502"/>
      <c r="H18" s="502"/>
      <c r="I18" s="502"/>
      <c r="J18" s="502"/>
      <c r="K18" s="502"/>
      <c r="L18" s="502"/>
    </row>
    <row r="19" spans="1:12" ht="76.5" customHeight="1" x14ac:dyDescent="0.3">
      <c r="A19" s="194" t="s">
        <v>409</v>
      </c>
      <c r="B19" s="194" t="s">
        <v>318</v>
      </c>
      <c r="C19" s="498">
        <f>180</f>
        <v>180</v>
      </c>
      <c r="D19" s="194" t="s">
        <v>312</v>
      </c>
      <c r="E19" s="503" t="s">
        <v>411</v>
      </c>
      <c r="F19" s="502"/>
      <c r="G19" s="502"/>
      <c r="H19" s="502"/>
      <c r="I19" s="502"/>
      <c r="J19" s="502"/>
      <c r="K19" s="502"/>
      <c r="L19" s="502"/>
    </row>
    <row r="20" spans="1:12" ht="20.5" customHeight="1" x14ac:dyDescent="0.3">
      <c r="A20" s="194" t="s">
        <v>412</v>
      </c>
      <c r="B20" s="392" t="s">
        <v>396</v>
      </c>
      <c r="C20" s="498">
        <v>3000</v>
      </c>
      <c r="D20" s="392" t="s">
        <v>270</v>
      </c>
      <c r="E20" s="521" t="s">
        <v>397</v>
      </c>
      <c r="F20" s="522"/>
      <c r="G20" s="522"/>
      <c r="H20" s="522"/>
      <c r="I20" s="522"/>
      <c r="J20" s="522"/>
      <c r="K20" s="522"/>
      <c r="L20" s="523"/>
    </row>
    <row r="21" spans="1:12" ht="22.95" customHeight="1" x14ac:dyDescent="0.3">
      <c r="A21" s="194" t="s">
        <v>410</v>
      </c>
      <c r="B21" s="194" t="s">
        <v>319</v>
      </c>
      <c r="C21" s="498">
        <v>600</v>
      </c>
      <c r="D21" s="194" t="s">
        <v>312</v>
      </c>
      <c r="E21" s="502" t="s">
        <v>386</v>
      </c>
      <c r="F21" s="502"/>
      <c r="G21" s="502"/>
      <c r="H21" s="502"/>
      <c r="I21" s="502"/>
      <c r="J21" s="502"/>
      <c r="K21" s="502"/>
      <c r="L21" s="502"/>
    </row>
    <row r="22" spans="1:12" ht="22.95" customHeight="1" x14ac:dyDescent="0.3">
      <c r="A22" s="194">
        <v>7.4</v>
      </c>
      <c r="B22" s="194" t="s">
        <v>320</v>
      </c>
      <c r="C22" s="498">
        <v>631.79999999999995</v>
      </c>
      <c r="D22" s="194" t="s">
        <v>312</v>
      </c>
      <c r="E22" s="502" t="s">
        <v>386</v>
      </c>
      <c r="F22" s="502"/>
      <c r="G22" s="502"/>
      <c r="H22" s="502"/>
      <c r="I22" s="502"/>
      <c r="J22" s="502"/>
      <c r="K22" s="502"/>
      <c r="L22" s="502"/>
    </row>
    <row r="23" spans="1:12" ht="22.95" customHeight="1" x14ac:dyDescent="0.3">
      <c r="A23" s="194">
        <v>8</v>
      </c>
      <c r="B23" s="194" t="s">
        <v>321</v>
      </c>
      <c r="C23" s="179">
        <f>(C16+C17+C18+C22)/C2</f>
        <v>3733.4613333333336</v>
      </c>
      <c r="D23" s="263" t="s">
        <v>322</v>
      </c>
      <c r="E23" s="506" t="s">
        <v>387</v>
      </c>
      <c r="F23" s="506"/>
      <c r="G23" s="506"/>
      <c r="H23" s="506"/>
      <c r="I23" s="506"/>
      <c r="J23" s="506"/>
      <c r="K23" s="506"/>
      <c r="L23" s="506"/>
    </row>
    <row r="24" spans="1:12" ht="22.95" customHeight="1" x14ac:dyDescent="0.3">
      <c r="A24" s="194">
        <v>9</v>
      </c>
      <c r="B24" s="194" t="s">
        <v>323</v>
      </c>
      <c r="C24" s="179">
        <f>(C16+C17+C21)/C2</f>
        <v>3379.2526666666668</v>
      </c>
      <c r="D24" s="263" t="s">
        <v>322</v>
      </c>
      <c r="E24" s="506" t="s">
        <v>387</v>
      </c>
      <c r="F24" s="506"/>
      <c r="G24" s="506"/>
      <c r="H24" s="506"/>
      <c r="I24" s="506"/>
      <c r="J24" s="506"/>
      <c r="K24" s="506"/>
      <c r="L24" s="506"/>
    </row>
    <row r="25" spans="1:12" ht="22.95" customHeight="1" x14ac:dyDescent="0.3">
      <c r="A25" s="194">
        <v>10</v>
      </c>
      <c r="B25" s="194" t="s">
        <v>324</v>
      </c>
      <c r="C25" s="179">
        <f>C16/(1+C26)*C26+C17/(1+C27)*C27+C21/(1+C28)*C28</f>
        <v>5470.1291416373442</v>
      </c>
      <c r="D25" s="263" t="s">
        <v>314</v>
      </c>
      <c r="E25" s="506" t="s">
        <v>388</v>
      </c>
      <c r="F25" s="506"/>
      <c r="G25" s="506"/>
      <c r="H25" s="506"/>
      <c r="I25" s="506"/>
      <c r="J25" s="506"/>
      <c r="K25" s="506"/>
      <c r="L25" s="506"/>
    </row>
    <row r="26" spans="1:12" ht="22.95" customHeight="1" x14ac:dyDescent="0.3">
      <c r="A26" s="194">
        <v>10.1</v>
      </c>
      <c r="B26" s="194" t="s">
        <v>325</v>
      </c>
      <c r="C26" s="180">
        <v>0.09</v>
      </c>
      <c r="D26" s="263"/>
      <c r="E26" s="502" t="s">
        <v>326</v>
      </c>
      <c r="F26" s="502"/>
      <c r="G26" s="502"/>
      <c r="H26" s="502"/>
      <c r="I26" s="502"/>
      <c r="J26" s="502"/>
      <c r="K26" s="502"/>
      <c r="L26" s="502"/>
    </row>
    <row r="27" spans="1:12" ht="22.95" customHeight="1" x14ac:dyDescent="0.3">
      <c r="A27" s="194">
        <v>10.199999999999999</v>
      </c>
      <c r="B27" s="194" t="s">
        <v>327</v>
      </c>
      <c r="C27" s="180">
        <v>0.13</v>
      </c>
      <c r="D27" s="263"/>
      <c r="E27" s="502" t="s">
        <v>328</v>
      </c>
      <c r="F27" s="502"/>
      <c r="G27" s="502"/>
      <c r="H27" s="502"/>
      <c r="I27" s="502"/>
      <c r="J27" s="502"/>
      <c r="K27" s="502"/>
      <c r="L27" s="502"/>
    </row>
    <row r="28" spans="1:12" ht="22.95" customHeight="1" x14ac:dyDescent="0.3">
      <c r="A28" s="194">
        <v>10.3</v>
      </c>
      <c r="B28" s="194" t="s">
        <v>329</v>
      </c>
      <c r="C28" s="180">
        <v>0.06</v>
      </c>
      <c r="D28" s="263"/>
      <c r="E28" s="502" t="s">
        <v>328</v>
      </c>
      <c r="F28" s="502"/>
      <c r="G28" s="502"/>
      <c r="H28" s="502"/>
      <c r="I28" s="502"/>
      <c r="J28" s="502"/>
      <c r="K28" s="502"/>
      <c r="L28" s="502"/>
    </row>
    <row r="29" spans="1:12" ht="22.95" customHeight="1" x14ac:dyDescent="0.3">
      <c r="A29" s="194">
        <v>11</v>
      </c>
      <c r="B29" s="263" t="s">
        <v>330</v>
      </c>
      <c r="C29" s="177">
        <f>参数表!C2*30</f>
        <v>450</v>
      </c>
      <c r="D29" s="194" t="s">
        <v>331</v>
      </c>
      <c r="E29" s="501" t="s">
        <v>386</v>
      </c>
      <c r="F29" s="502"/>
      <c r="G29" s="502"/>
      <c r="H29" s="502"/>
      <c r="I29" s="502"/>
      <c r="J29" s="502"/>
      <c r="K29" s="502"/>
      <c r="L29" s="502"/>
    </row>
    <row r="30" spans="1:12" ht="54" customHeight="1" x14ac:dyDescent="0.3">
      <c r="A30" s="194">
        <v>12</v>
      </c>
      <c r="B30" s="194" t="s">
        <v>332</v>
      </c>
      <c r="C30" s="180">
        <v>0.2</v>
      </c>
      <c r="D30" s="194"/>
      <c r="E30" s="502" t="s">
        <v>333</v>
      </c>
      <c r="F30" s="502"/>
      <c r="G30" s="502"/>
      <c r="H30" s="502"/>
      <c r="I30" s="502"/>
      <c r="J30" s="502"/>
      <c r="K30" s="502"/>
      <c r="L30" s="502"/>
    </row>
    <row r="31" spans="1:12" ht="22.95" customHeight="1" x14ac:dyDescent="0.3">
      <c r="A31" s="194">
        <v>13</v>
      </c>
      <c r="B31" s="194" t="s">
        <v>334</v>
      </c>
      <c r="C31" s="180">
        <v>4.65E-2</v>
      </c>
      <c r="D31" s="194"/>
      <c r="E31" s="501" t="s">
        <v>389</v>
      </c>
      <c r="F31" s="502"/>
      <c r="G31" s="502"/>
      <c r="H31" s="502"/>
      <c r="I31" s="502"/>
      <c r="J31" s="502"/>
      <c r="K31" s="502"/>
      <c r="L31" s="502"/>
    </row>
    <row r="32" spans="1:12" ht="22.95" customHeight="1" x14ac:dyDescent="0.3">
      <c r="A32" s="194">
        <v>14</v>
      </c>
      <c r="B32" s="182" t="s">
        <v>335</v>
      </c>
      <c r="C32" s="177">
        <v>15</v>
      </c>
      <c r="D32" s="182" t="s">
        <v>336</v>
      </c>
      <c r="E32" s="501" t="s">
        <v>389</v>
      </c>
      <c r="F32" s="502"/>
      <c r="G32" s="502"/>
      <c r="H32" s="502"/>
      <c r="I32" s="502"/>
      <c r="J32" s="502"/>
      <c r="K32" s="502"/>
      <c r="L32" s="502"/>
    </row>
    <row r="33" spans="1:12" ht="22.95" customHeight="1" x14ac:dyDescent="0.3">
      <c r="A33" s="194">
        <v>15</v>
      </c>
      <c r="B33" s="262" t="s">
        <v>337</v>
      </c>
      <c r="C33" s="230">
        <v>4.3499999999999997E-2</v>
      </c>
      <c r="D33" s="262"/>
      <c r="E33" s="501" t="s">
        <v>389</v>
      </c>
      <c r="F33" s="502"/>
      <c r="G33" s="502"/>
      <c r="H33" s="502"/>
      <c r="I33" s="502"/>
      <c r="J33" s="502"/>
      <c r="K33" s="502"/>
      <c r="L33" s="502"/>
    </row>
    <row r="34" spans="1:12" ht="22.95" customHeight="1" x14ac:dyDescent="0.3">
      <c r="A34" s="194">
        <v>16</v>
      </c>
      <c r="B34" s="194" t="s">
        <v>338</v>
      </c>
      <c r="C34" s="190">
        <v>4.3499999999999997E-2</v>
      </c>
      <c r="D34" s="194"/>
      <c r="E34" s="501" t="s">
        <v>389</v>
      </c>
      <c r="F34" s="502"/>
      <c r="G34" s="502"/>
      <c r="H34" s="502"/>
      <c r="I34" s="502"/>
      <c r="J34" s="502"/>
      <c r="K34" s="502"/>
      <c r="L34" s="502"/>
    </row>
    <row r="35" spans="1:12" ht="22.95" customHeight="1" x14ac:dyDescent="0.3">
      <c r="A35" s="194">
        <v>17</v>
      </c>
      <c r="B35" s="194" t="s">
        <v>339</v>
      </c>
      <c r="C35" s="177">
        <v>6</v>
      </c>
      <c r="D35" s="263" t="s">
        <v>340</v>
      </c>
      <c r="E35" s="501" t="s">
        <v>386</v>
      </c>
      <c r="F35" s="502"/>
      <c r="G35" s="502"/>
      <c r="H35" s="502"/>
      <c r="I35" s="502"/>
      <c r="J35" s="502"/>
      <c r="K35" s="502"/>
      <c r="L35" s="502"/>
    </row>
    <row r="36" spans="1:12" ht="42" customHeight="1" x14ac:dyDescent="0.3">
      <c r="A36" s="389">
        <v>18.100000000000001</v>
      </c>
      <c r="B36" s="194" t="s">
        <v>341</v>
      </c>
      <c r="C36" s="191">
        <v>0.13</v>
      </c>
      <c r="D36" s="194"/>
      <c r="E36" s="502" t="s">
        <v>342</v>
      </c>
      <c r="F36" s="502"/>
      <c r="G36" s="502"/>
      <c r="H36" s="502"/>
      <c r="I36" s="502"/>
      <c r="J36" s="502"/>
      <c r="K36" s="502"/>
      <c r="L36" s="502"/>
    </row>
    <row r="37" spans="1:12" ht="22.95" customHeight="1" x14ac:dyDescent="0.3">
      <c r="A37" s="194">
        <v>18.2</v>
      </c>
      <c r="B37" s="194" t="s">
        <v>343</v>
      </c>
      <c r="C37" s="192">
        <v>2020</v>
      </c>
      <c r="D37" s="263" t="s">
        <v>344</v>
      </c>
      <c r="E37" s="502" t="s">
        <v>345</v>
      </c>
      <c r="F37" s="502"/>
      <c r="G37" s="502"/>
      <c r="H37" s="502"/>
      <c r="I37" s="502"/>
      <c r="J37" s="502"/>
      <c r="K37" s="502"/>
      <c r="L37" s="502"/>
    </row>
    <row r="38" spans="1:12" ht="22.95" customHeight="1" x14ac:dyDescent="0.3">
      <c r="A38" s="194">
        <v>19</v>
      </c>
      <c r="B38" s="194" t="s">
        <v>346</v>
      </c>
      <c r="C38" s="193">
        <v>0.05</v>
      </c>
      <c r="D38" s="194"/>
      <c r="E38" s="503" t="s">
        <v>413</v>
      </c>
      <c r="F38" s="502"/>
      <c r="G38" s="502"/>
      <c r="H38" s="502"/>
      <c r="I38" s="502"/>
      <c r="J38" s="502"/>
      <c r="K38" s="502"/>
      <c r="L38" s="502"/>
    </row>
    <row r="39" spans="1:12" ht="22.95" customHeight="1" x14ac:dyDescent="0.3">
      <c r="A39" s="194">
        <v>20</v>
      </c>
      <c r="B39" s="194" t="s">
        <v>347</v>
      </c>
      <c r="C39" s="193">
        <v>0.05</v>
      </c>
      <c r="D39" s="194"/>
      <c r="E39" s="503" t="s">
        <v>419</v>
      </c>
      <c r="F39" s="502"/>
      <c r="G39" s="502"/>
      <c r="H39" s="502"/>
      <c r="I39" s="502"/>
      <c r="J39" s="502"/>
      <c r="K39" s="502"/>
      <c r="L39" s="502"/>
    </row>
    <row r="40" spans="1:12" ht="36" customHeight="1" x14ac:dyDescent="0.3">
      <c r="A40" s="194">
        <v>21</v>
      </c>
      <c r="B40" s="393" t="s">
        <v>535</v>
      </c>
      <c r="C40" s="193">
        <v>0.25</v>
      </c>
      <c r="D40" s="194"/>
      <c r="E40" s="503" t="s">
        <v>420</v>
      </c>
      <c r="F40" s="502"/>
      <c r="G40" s="502"/>
      <c r="H40" s="502"/>
      <c r="I40" s="502"/>
      <c r="J40" s="502"/>
      <c r="K40" s="502"/>
      <c r="L40" s="502"/>
    </row>
    <row r="41" spans="1:12" ht="53.25" customHeight="1" x14ac:dyDescent="0.3">
      <c r="A41" s="194">
        <v>21.1</v>
      </c>
      <c r="B41" s="393" t="s">
        <v>536</v>
      </c>
      <c r="C41" s="400" t="s">
        <v>423</v>
      </c>
      <c r="D41" s="194"/>
      <c r="E41" s="507" t="s">
        <v>421</v>
      </c>
      <c r="F41" s="508"/>
      <c r="G41" s="508"/>
      <c r="H41" s="508"/>
      <c r="I41" s="508"/>
      <c r="J41" s="508"/>
      <c r="K41" s="508"/>
      <c r="L41" s="509"/>
    </row>
    <row r="42" spans="1:12" ht="19.5" customHeight="1" x14ac:dyDescent="0.3">
      <c r="A42" s="194">
        <v>21.2</v>
      </c>
      <c r="B42" s="393" t="s">
        <v>422</v>
      </c>
      <c r="C42" s="193">
        <v>0.15</v>
      </c>
      <c r="D42" s="194"/>
      <c r="E42" s="510"/>
      <c r="F42" s="511"/>
      <c r="G42" s="511"/>
      <c r="H42" s="511"/>
      <c r="I42" s="511"/>
      <c r="J42" s="511"/>
      <c r="K42" s="511"/>
      <c r="L42" s="512"/>
    </row>
    <row r="43" spans="1:12" ht="22.5" customHeight="1" x14ac:dyDescent="0.3">
      <c r="A43" s="194">
        <v>22</v>
      </c>
      <c r="B43" s="393" t="s">
        <v>398</v>
      </c>
      <c r="C43" s="179">
        <f>C44*C45/10000</f>
        <v>0</v>
      </c>
      <c r="D43" s="393" t="s">
        <v>405</v>
      </c>
      <c r="E43" s="503" t="s">
        <v>403</v>
      </c>
      <c r="F43" s="502"/>
      <c r="G43" s="502"/>
      <c r="H43" s="502"/>
      <c r="I43" s="502"/>
      <c r="J43" s="502"/>
      <c r="K43" s="502"/>
      <c r="L43" s="502"/>
    </row>
    <row r="44" spans="1:12" ht="22.5" customHeight="1" x14ac:dyDescent="0.3">
      <c r="A44" s="194">
        <v>22.1</v>
      </c>
      <c r="B44" s="393" t="s">
        <v>400</v>
      </c>
      <c r="C44" s="394">
        <v>0</v>
      </c>
      <c r="D44" s="194" t="s">
        <v>399</v>
      </c>
      <c r="E44" s="503" t="s">
        <v>406</v>
      </c>
      <c r="F44" s="502"/>
      <c r="G44" s="502"/>
      <c r="H44" s="502"/>
      <c r="I44" s="502"/>
      <c r="J44" s="502"/>
      <c r="K44" s="502"/>
      <c r="L44" s="502"/>
    </row>
    <row r="45" spans="1:12" ht="22.5" customHeight="1" x14ac:dyDescent="0.3">
      <c r="A45" s="194">
        <v>22.2</v>
      </c>
      <c r="B45" s="393" t="s">
        <v>401</v>
      </c>
      <c r="C45" s="394">
        <v>0</v>
      </c>
      <c r="D45" s="393" t="s">
        <v>402</v>
      </c>
      <c r="E45" s="503" t="s">
        <v>406</v>
      </c>
      <c r="F45" s="502"/>
      <c r="G45" s="502"/>
      <c r="H45" s="502"/>
      <c r="I45" s="502"/>
      <c r="J45" s="502"/>
      <c r="K45" s="502"/>
      <c r="L45" s="502"/>
    </row>
    <row r="46" spans="1:12" ht="22.95" customHeight="1" x14ac:dyDescent="0.3">
      <c r="A46" s="194">
        <v>23</v>
      </c>
      <c r="B46" s="194" t="s">
        <v>348</v>
      </c>
      <c r="C46" s="193">
        <v>0.1</v>
      </c>
      <c r="D46" s="194"/>
      <c r="E46" s="502" t="s">
        <v>328</v>
      </c>
      <c r="F46" s="502"/>
      <c r="G46" s="502"/>
      <c r="H46" s="502"/>
      <c r="I46" s="502"/>
      <c r="J46" s="502"/>
      <c r="K46" s="502"/>
      <c r="L46" s="502"/>
    </row>
    <row r="47" spans="1:12" ht="22.95" customHeight="1" x14ac:dyDescent="0.3">
      <c r="A47" s="182">
        <v>24</v>
      </c>
      <c r="B47" s="182" t="s">
        <v>352</v>
      </c>
      <c r="C47" s="181">
        <f>(1-参数表!C49)/参数表!C48</f>
        <v>4.7500000000000001E-2</v>
      </c>
      <c r="D47" s="182"/>
      <c r="E47" s="506" t="s">
        <v>390</v>
      </c>
      <c r="F47" s="506"/>
      <c r="G47" s="506"/>
      <c r="H47" s="506"/>
      <c r="I47" s="506"/>
      <c r="J47" s="506"/>
      <c r="K47" s="506"/>
      <c r="L47" s="506"/>
    </row>
    <row r="48" spans="1:12" ht="22.95" customHeight="1" x14ac:dyDescent="0.3">
      <c r="A48" s="389">
        <v>24.1</v>
      </c>
      <c r="B48" s="389" t="s">
        <v>349</v>
      </c>
      <c r="C48" s="177">
        <v>20</v>
      </c>
      <c r="D48" s="194"/>
      <c r="E48" s="502" t="s">
        <v>350</v>
      </c>
      <c r="F48" s="502"/>
      <c r="G48" s="502"/>
      <c r="H48" s="502"/>
      <c r="I48" s="502"/>
      <c r="J48" s="502"/>
      <c r="K48" s="502"/>
      <c r="L48" s="502"/>
    </row>
    <row r="49" spans="1:28" ht="22.95" customHeight="1" x14ac:dyDescent="0.3">
      <c r="A49" s="389">
        <v>24.2</v>
      </c>
      <c r="B49" s="389" t="s">
        <v>351</v>
      </c>
      <c r="C49" s="180">
        <v>0.05</v>
      </c>
      <c r="D49" s="194"/>
      <c r="E49" s="502" t="s">
        <v>350</v>
      </c>
      <c r="F49" s="502"/>
      <c r="G49" s="502"/>
      <c r="H49" s="502"/>
      <c r="I49" s="502"/>
      <c r="J49" s="502"/>
      <c r="K49" s="502"/>
      <c r="L49" s="502"/>
    </row>
    <row r="50" spans="1:28" ht="22.95" customHeight="1" x14ac:dyDescent="0.3">
      <c r="A50" s="194">
        <v>25</v>
      </c>
      <c r="B50" s="393" t="s">
        <v>416</v>
      </c>
      <c r="C50" s="179">
        <f>(成本!E7+成本!E8+成本!E10+成本!E18)/参数表!C2</f>
        <v>49.007102475199609</v>
      </c>
      <c r="D50" s="263" t="s">
        <v>353</v>
      </c>
      <c r="E50" s="524" t="s">
        <v>541</v>
      </c>
      <c r="F50" s="506"/>
      <c r="G50" s="506"/>
      <c r="H50" s="506"/>
      <c r="I50" s="506"/>
      <c r="J50" s="506"/>
      <c r="K50" s="506"/>
      <c r="L50" s="506"/>
    </row>
    <row r="51" spans="1:28" ht="22.95" customHeight="1" x14ac:dyDescent="0.3">
      <c r="A51" s="499">
        <v>25.1</v>
      </c>
      <c r="B51" s="504" t="s">
        <v>415</v>
      </c>
      <c r="C51" s="194">
        <f t="shared" ref="C51:AB51" si="1">C4</f>
        <v>2020</v>
      </c>
      <c r="D51" s="194">
        <f t="shared" si="1"/>
        <v>2021</v>
      </c>
      <c r="E51" s="194">
        <f t="shared" si="1"/>
        <v>2022</v>
      </c>
      <c r="F51" s="194">
        <f t="shared" si="1"/>
        <v>2023</v>
      </c>
      <c r="G51" s="194">
        <f t="shared" si="1"/>
        <v>2024</v>
      </c>
      <c r="H51" s="194">
        <f t="shared" si="1"/>
        <v>2025</v>
      </c>
      <c r="I51" s="194">
        <f t="shared" si="1"/>
        <v>2026</v>
      </c>
      <c r="J51" s="194">
        <f t="shared" si="1"/>
        <v>2027</v>
      </c>
      <c r="K51" s="194">
        <f t="shared" si="1"/>
        <v>2028</v>
      </c>
      <c r="L51" s="194">
        <f t="shared" si="1"/>
        <v>2029</v>
      </c>
      <c r="M51" s="194">
        <f t="shared" si="1"/>
        <v>2030</v>
      </c>
      <c r="N51" s="194">
        <f t="shared" si="1"/>
        <v>2031</v>
      </c>
      <c r="O51" s="194">
        <f t="shared" si="1"/>
        <v>2032</v>
      </c>
      <c r="P51" s="194">
        <f t="shared" si="1"/>
        <v>2033</v>
      </c>
      <c r="Q51" s="194">
        <f t="shared" si="1"/>
        <v>2034</v>
      </c>
      <c r="R51" s="194">
        <f t="shared" si="1"/>
        <v>2035</v>
      </c>
      <c r="S51" s="194">
        <f t="shared" si="1"/>
        <v>2036</v>
      </c>
      <c r="T51" s="194">
        <f t="shared" si="1"/>
        <v>2037</v>
      </c>
      <c r="U51" s="194">
        <f t="shared" si="1"/>
        <v>2038</v>
      </c>
      <c r="V51" s="194">
        <f t="shared" si="1"/>
        <v>2039</v>
      </c>
      <c r="W51" s="194">
        <f t="shared" si="1"/>
        <v>2040</v>
      </c>
      <c r="X51" s="194">
        <f t="shared" si="1"/>
        <v>2041</v>
      </c>
      <c r="Y51" s="194">
        <f t="shared" si="1"/>
        <v>2042</v>
      </c>
      <c r="Z51" s="194">
        <f t="shared" si="1"/>
        <v>2043</v>
      </c>
      <c r="AA51" s="194">
        <f t="shared" si="1"/>
        <v>2044</v>
      </c>
      <c r="AB51" s="194">
        <f t="shared" si="1"/>
        <v>2045</v>
      </c>
    </row>
    <row r="52" spans="1:28" ht="22.95" customHeight="1" x14ac:dyDescent="0.3">
      <c r="A52" s="500"/>
      <c r="B52" s="505"/>
      <c r="C52" s="180"/>
      <c r="D52" s="180">
        <v>2E-3</v>
      </c>
      <c r="E52" s="180">
        <v>2E-3</v>
      </c>
      <c r="F52" s="180">
        <v>2E-3</v>
      </c>
      <c r="G52" s="180">
        <v>4.0000000000000001E-3</v>
      </c>
      <c r="H52" s="180">
        <v>4.0000000000000001E-3</v>
      </c>
      <c r="I52" s="180">
        <v>4.0000000000000001E-3</v>
      </c>
      <c r="J52" s="180">
        <v>4.0000000000000001E-3</v>
      </c>
      <c r="K52" s="180">
        <v>4.0000000000000001E-3</v>
      </c>
      <c r="L52" s="180">
        <v>6.0000000000000001E-3</v>
      </c>
      <c r="M52" s="180">
        <v>6.0000000000000001E-3</v>
      </c>
      <c r="N52" s="180">
        <v>6.0000000000000001E-3</v>
      </c>
      <c r="O52" s="180">
        <v>6.0000000000000001E-3</v>
      </c>
      <c r="P52" s="180">
        <v>6.0000000000000001E-3</v>
      </c>
      <c r="Q52" s="180">
        <v>6.0000000000000001E-3</v>
      </c>
      <c r="R52" s="180">
        <v>0.01</v>
      </c>
      <c r="S52" s="180">
        <v>0.01</v>
      </c>
      <c r="T52" s="180">
        <v>0.01</v>
      </c>
      <c r="U52" s="180">
        <v>0.01</v>
      </c>
      <c r="V52" s="180">
        <v>0.01</v>
      </c>
      <c r="W52" s="180">
        <v>0.01</v>
      </c>
      <c r="X52" s="180">
        <v>0.01</v>
      </c>
      <c r="Y52" s="180">
        <v>0.01</v>
      </c>
      <c r="Z52" s="180">
        <v>0.01</v>
      </c>
      <c r="AA52" s="180">
        <v>0.01</v>
      </c>
      <c r="AB52" s="180">
        <v>0.01</v>
      </c>
    </row>
    <row r="53" spans="1:28" ht="22.95" customHeight="1" x14ac:dyDescent="0.3">
      <c r="A53" s="194">
        <v>25.2</v>
      </c>
      <c r="B53" s="194" t="s">
        <v>354</v>
      </c>
      <c r="C53" s="177">
        <v>8</v>
      </c>
      <c r="D53" s="194"/>
      <c r="E53" s="501" t="s">
        <v>386</v>
      </c>
      <c r="F53" s="502"/>
      <c r="G53" s="502"/>
      <c r="H53" s="502"/>
      <c r="I53" s="502"/>
      <c r="J53" s="502"/>
      <c r="K53" s="502"/>
      <c r="L53" s="502"/>
    </row>
    <row r="54" spans="1:28" ht="22.95" customHeight="1" x14ac:dyDescent="0.3">
      <c r="A54" s="194">
        <v>25.3</v>
      </c>
      <c r="B54" s="194" t="s">
        <v>355</v>
      </c>
      <c r="C54" s="177">
        <v>9</v>
      </c>
      <c r="D54" s="194" t="s">
        <v>331</v>
      </c>
      <c r="E54" s="501" t="s">
        <v>386</v>
      </c>
      <c r="F54" s="502"/>
      <c r="G54" s="502"/>
      <c r="H54" s="502"/>
      <c r="I54" s="502"/>
      <c r="J54" s="502"/>
      <c r="K54" s="502"/>
      <c r="L54" s="502"/>
    </row>
    <row r="55" spans="1:28" ht="22.95" customHeight="1" x14ac:dyDescent="0.3">
      <c r="A55" s="194">
        <v>25.4</v>
      </c>
      <c r="B55" s="194" t="s">
        <v>356</v>
      </c>
      <c r="C55" s="180">
        <v>0.5</v>
      </c>
      <c r="D55" s="194"/>
      <c r="E55" s="501" t="s">
        <v>386</v>
      </c>
      <c r="F55" s="502"/>
      <c r="G55" s="502"/>
      <c r="H55" s="502"/>
      <c r="I55" s="502"/>
      <c r="J55" s="502"/>
      <c r="K55" s="502"/>
      <c r="L55" s="502"/>
    </row>
    <row r="56" spans="1:28" ht="22.95" customHeight="1" x14ac:dyDescent="0.3">
      <c r="A56" s="194">
        <v>25.5</v>
      </c>
      <c r="B56" s="194" t="s">
        <v>357</v>
      </c>
      <c r="C56" s="177">
        <v>25</v>
      </c>
      <c r="D56" s="263" t="s">
        <v>322</v>
      </c>
      <c r="E56" s="501" t="s">
        <v>386</v>
      </c>
      <c r="F56" s="502"/>
      <c r="G56" s="502"/>
      <c r="H56" s="502"/>
      <c r="I56" s="502"/>
      <c r="J56" s="502"/>
      <c r="K56" s="502"/>
      <c r="L56" s="502"/>
    </row>
    <row r="57" spans="1:28" ht="22.95" customHeight="1" x14ac:dyDescent="0.3">
      <c r="A57" s="194">
        <v>25.6</v>
      </c>
      <c r="B57" s="194" t="s">
        <v>358</v>
      </c>
      <c r="C57" s="177">
        <v>10</v>
      </c>
      <c r="D57" s="263" t="s">
        <v>353</v>
      </c>
      <c r="E57" s="501" t="s">
        <v>386</v>
      </c>
      <c r="F57" s="502"/>
      <c r="G57" s="502"/>
      <c r="H57" s="502"/>
      <c r="I57" s="502"/>
      <c r="J57" s="502"/>
      <c r="K57" s="502"/>
      <c r="L57" s="502"/>
    </row>
    <row r="58" spans="1:28" ht="22.95" customHeight="1" x14ac:dyDescent="0.3">
      <c r="A58" s="194">
        <v>25.7</v>
      </c>
      <c r="B58" s="194" t="s">
        <v>359</v>
      </c>
      <c r="C58" s="180">
        <v>5.0000000000000001E-4</v>
      </c>
      <c r="D58" s="194"/>
      <c r="E58" s="501" t="s">
        <v>386</v>
      </c>
      <c r="F58" s="502"/>
      <c r="G58" s="502"/>
      <c r="H58" s="502"/>
      <c r="I58" s="502"/>
      <c r="J58" s="502"/>
      <c r="K58" s="502"/>
      <c r="L58" s="502"/>
    </row>
    <row r="59" spans="1:28" ht="22.95" customHeight="1" x14ac:dyDescent="0.3">
      <c r="A59" s="194">
        <v>26</v>
      </c>
      <c r="B59" s="194" t="s">
        <v>360</v>
      </c>
      <c r="C59" s="179">
        <f>C61*C62/10000</f>
        <v>156.91050000000001</v>
      </c>
      <c r="D59" s="194"/>
      <c r="E59" s="502" t="s">
        <v>361</v>
      </c>
      <c r="F59" s="502"/>
      <c r="G59" s="502"/>
      <c r="H59" s="502"/>
      <c r="I59" s="502"/>
      <c r="J59" s="502"/>
      <c r="K59" s="502"/>
      <c r="L59" s="502"/>
    </row>
    <row r="60" spans="1:28" ht="51" customHeight="1" x14ac:dyDescent="0.3">
      <c r="A60" s="194">
        <v>26.1</v>
      </c>
      <c r="B60" s="194" t="s">
        <v>362</v>
      </c>
      <c r="C60" s="177">
        <v>11.622999999999999</v>
      </c>
      <c r="D60" s="194" t="s">
        <v>281</v>
      </c>
      <c r="E60" s="502" t="s">
        <v>391</v>
      </c>
      <c r="F60" s="502"/>
      <c r="G60" s="502"/>
      <c r="H60" s="502"/>
      <c r="I60" s="502"/>
      <c r="J60" s="502"/>
      <c r="K60" s="502"/>
      <c r="L60" s="502"/>
    </row>
    <row r="61" spans="1:28" ht="22.95" customHeight="1" x14ac:dyDescent="0.3">
      <c r="A61" s="194">
        <v>26.2</v>
      </c>
      <c r="B61" s="194" t="s">
        <v>363</v>
      </c>
      <c r="C61" s="179">
        <f>C2*C60*10000/(1000*2/3)</f>
        <v>2615.1750000000002</v>
      </c>
      <c r="D61" s="194" t="s">
        <v>364</v>
      </c>
      <c r="E61" s="501" t="s">
        <v>390</v>
      </c>
      <c r="F61" s="502"/>
      <c r="G61" s="502"/>
      <c r="H61" s="502"/>
      <c r="I61" s="502"/>
      <c r="J61" s="502"/>
      <c r="K61" s="502"/>
      <c r="L61" s="502"/>
    </row>
    <row r="62" spans="1:28" ht="22.95" customHeight="1" x14ac:dyDescent="0.3">
      <c r="A62" s="194">
        <v>26.3</v>
      </c>
      <c r="B62" s="194" t="s">
        <v>365</v>
      </c>
      <c r="C62" s="177">
        <v>600</v>
      </c>
      <c r="D62" s="194" t="s">
        <v>366</v>
      </c>
      <c r="E62" s="525" t="s">
        <v>395</v>
      </c>
      <c r="F62" s="502"/>
      <c r="G62" s="502"/>
      <c r="H62" s="502"/>
      <c r="I62" s="502"/>
      <c r="J62" s="502"/>
      <c r="K62" s="502"/>
      <c r="L62" s="502"/>
    </row>
    <row r="63" spans="1:28" ht="22.95" customHeight="1" x14ac:dyDescent="0.3">
      <c r="A63" s="194">
        <v>26.4</v>
      </c>
      <c r="B63" s="388" t="s">
        <v>393</v>
      </c>
      <c r="C63" s="177">
        <v>3</v>
      </c>
      <c r="D63" s="194" t="s">
        <v>394</v>
      </c>
      <c r="E63" s="525" t="s">
        <v>395</v>
      </c>
      <c r="F63" s="502"/>
      <c r="G63" s="502"/>
      <c r="H63" s="502"/>
      <c r="I63" s="502"/>
      <c r="J63" s="502"/>
      <c r="K63" s="502"/>
      <c r="L63" s="502"/>
    </row>
    <row r="64" spans="1:28" ht="22.95" customHeight="1" x14ac:dyDescent="0.3">
      <c r="A64" s="194">
        <v>26.5</v>
      </c>
      <c r="B64" s="378" t="s">
        <v>367</v>
      </c>
      <c r="C64" s="180">
        <v>0.05</v>
      </c>
      <c r="D64" s="194"/>
      <c r="E64" s="501" t="s">
        <v>392</v>
      </c>
      <c r="F64" s="502"/>
      <c r="G64" s="502"/>
      <c r="H64" s="502"/>
      <c r="I64" s="502"/>
      <c r="J64" s="502"/>
      <c r="K64" s="502"/>
      <c r="L64" s="502"/>
    </row>
    <row r="65" spans="1:28" ht="22.95" customHeight="1" x14ac:dyDescent="0.3">
      <c r="A65" s="194">
        <v>26.6</v>
      </c>
      <c r="B65" s="194" t="s">
        <v>368</v>
      </c>
      <c r="C65" s="177">
        <v>2</v>
      </c>
      <c r="D65" s="194" t="s">
        <v>369</v>
      </c>
      <c r="E65" s="501" t="s">
        <v>392</v>
      </c>
      <c r="F65" s="502"/>
      <c r="G65" s="502"/>
      <c r="H65" s="502"/>
      <c r="I65" s="502"/>
      <c r="J65" s="502"/>
      <c r="K65" s="502"/>
      <c r="L65" s="502"/>
    </row>
    <row r="66" spans="1:28" ht="22.95" customHeight="1" x14ac:dyDescent="0.3">
      <c r="A66" s="194"/>
      <c r="B66" s="194"/>
      <c r="C66" s="380">
        <f t="shared" ref="C66:AB66" si="2">C4</f>
        <v>2020</v>
      </c>
      <c r="D66" s="380">
        <f t="shared" si="2"/>
        <v>2021</v>
      </c>
      <c r="E66" s="381">
        <f t="shared" si="2"/>
        <v>2022</v>
      </c>
      <c r="F66" s="381">
        <f t="shared" si="2"/>
        <v>2023</v>
      </c>
      <c r="G66" s="381">
        <f t="shared" si="2"/>
        <v>2024</v>
      </c>
      <c r="H66" s="381">
        <f t="shared" si="2"/>
        <v>2025</v>
      </c>
      <c r="I66" s="381">
        <f t="shared" si="2"/>
        <v>2026</v>
      </c>
      <c r="J66" s="381">
        <f t="shared" si="2"/>
        <v>2027</v>
      </c>
      <c r="K66" s="381">
        <f t="shared" si="2"/>
        <v>2028</v>
      </c>
      <c r="L66" s="381">
        <f t="shared" si="2"/>
        <v>2029</v>
      </c>
      <c r="M66" s="380">
        <f t="shared" si="2"/>
        <v>2030</v>
      </c>
      <c r="N66" s="380">
        <f t="shared" si="2"/>
        <v>2031</v>
      </c>
      <c r="O66" s="380">
        <f t="shared" si="2"/>
        <v>2032</v>
      </c>
      <c r="P66" s="380">
        <f t="shared" si="2"/>
        <v>2033</v>
      </c>
      <c r="Q66" s="380">
        <f t="shared" si="2"/>
        <v>2034</v>
      </c>
      <c r="R66" s="380">
        <f t="shared" si="2"/>
        <v>2035</v>
      </c>
      <c r="S66" s="380">
        <f t="shared" si="2"/>
        <v>2036</v>
      </c>
      <c r="T66" s="380">
        <f t="shared" si="2"/>
        <v>2037</v>
      </c>
      <c r="U66" s="380">
        <f t="shared" si="2"/>
        <v>2038</v>
      </c>
      <c r="V66" s="380">
        <f t="shared" si="2"/>
        <v>2039</v>
      </c>
      <c r="W66" s="380">
        <f t="shared" si="2"/>
        <v>2040</v>
      </c>
      <c r="X66" s="380">
        <f t="shared" si="2"/>
        <v>2041</v>
      </c>
      <c r="Y66" s="380">
        <f t="shared" si="2"/>
        <v>2042</v>
      </c>
      <c r="Z66" s="380">
        <f t="shared" si="2"/>
        <v>2043</v>
      </c>
      <c r="AA66" s="380">
        <f t="shared" si="2"/>
        <v>2044</v>
      </c>
      <c r="AB66" s="380">
        <f t="shared" si="2"/>
        <v>2045</v>
      </c>
    </row>
    <row r="67" spans="1:28" ht="22.95" hidden="1" customHeight="1" x14ac:dyDescent="0.3">
      <c r="A67" s="194"/>
      <c r="B67" s="194"/>
      <c r="C67" s="380">
        <f>INT((C66-$C$66)/$C$65)+1</f>
        <v>1</v>
      </c>
      <c r="D67" s="380">
        <f t="shared" ref="D67:M67" si="3">INT((D66-$C$66)/$C$65)+1</f>
        <v>1</v>
      </c>
      <c r="E67" s="380">
        <f t="shared" si="3"/>
        <v>2</v>
      </c>
      <c r="F67" s="380">
        <f t="shared" si="3"/>
        <v>2</v>
      </c>
      <c r="G67" s="380">
        <f t="shared" si="3"/>
        <v>3</v>
      </c>
      <c r="H67" s="380">
        <f t="shared" si="3"/>
        <v>3</v>
      </c>
      <c r="I67" s="380">
        <f t="shared" si="3"/>
        <v>4</v>
      </c>
      <c r="J67" s="380">
        <f t="shared" si="3"/>
        <v>4</v>
      </c>
      <c r="K67" s="380">
        <f t="shared" si="3"/>
        <v>5</v>
      </c>
      <c r="L67" s="380">
        <f t="shared" si="3"/>
        <v>5</v>
      </c>
      <c r="M67" s="380">
        <f t="shared" si="3"/>
        <v>6</v>
      </c>
      <c r="N67" s="380">
        <f t="shared" ref="N67:AB67" si="4">INT((N66-$C$66)/$C$65)+1</f>
        <v>6</v>
      </c>
      <c r="O67" s="380">
        <f t="shared" si="4"/>
        <v>7</v>
      </c>
      <c r="P67" s="380">
        <f t="shared" si="4"/>
        <v>7</v>
      </c>
      <c r="Q67" s="380">
        <f t="shared" si="4"/>
        <v>8</v>
      </c>
      <c r="R67" s="380">
        <f t="shared" si="4"/>
        <v>8</v>
      </c>
      <c r="S67" s="380">
        <f t="shared" si="4"/>
        <v>9</v>
      </c>
      <c r="T67" s="380">
        <f t="shared" si="4"/>
        <v>9</v>
      </c>
      <c r="U67" s="380">
        <f t="shared" si="4"/>
        <v>10</v>
      </c>
      <c r="V67" s="380">
        <f t="shared" si="4"/>
        <v>10</v>
      </c>
      <c r="W67" s="380">
        <f t="shared" si="4"/>
        <v>11</v>
      </c>
      <c r="X67" s="380">
        <f t="shared" si="4"/>
        <v>11</v>
      </c>
      <c r="Y67" s="380">
        <f t="shared" si="4"/>
        <v>12</v>
      </c>
      <c r="Z67" s="380">
        <f t="shared" si="4"/>
        <v>12</v>
      </c>
      <c r="AA67" s="380">
        <f t="shared" si="4"/>
        <v>13</v>
      </c>
      <c r="AB67" s="380">
        <f t="shared" si="4"/>
        <v>13</v>
      </c>
    </row>
    <row r="68" spans="1:28" s="391" customFormat="1" ht="22.95" customHeight="1" x14ac:dyDescent="0.3">
      <c r="A68" s="389">
        <v>26.7</v>
      </c>
      <c r="B68" s="389" t="s">
        <v>370</v>
      </c>
      <c r="C68" s="390">
        <f>IF((C66-$C$66)/$C$65-INT((C66-$C$66)/$C$65)=0,SUMIF(C67:AB67,(C66-$C$66)/$C$65+1,C69:AB69),0)</f>
        <v>313.82100000000003</v>
      </c>
      <c r="D68" s="390">
        <f t="shared" ref="D68:L68" si="5">IF((D66-$C$66)/$C$65-INT((D66-$C$66)/$C$65)=0,SUMIF(D67:AC67,(D66-$C$66)/$C$65+1,D69:AC69),0)</f>
        <v>0</v>
      </c>
      <c r="E68" s="390">
        <f t="shared" si="5"/>
        <v>321.66652500000004</v>
      </c>
      <c r="F68" s="390">
        <f t="shared" si="5"/>
        <v>0</v>
      </c>
      <c r="G68" s="390">
        <f t="shared" si="5"/>
        <v>329.51205000000004</v>
      </c>
      <c r="H68" s="390">
        <f t="shared" si="5"/>
        <v>0</v>
      </c>
      <c r="I68" s="390">
        <f t="shared" si="5"/>
        <v>345.98765250000002</v>
      </c>
      <c r="J68" s="390">
        <f t="shared" si="5"/>
        <v>0</v>
      </c>
      <c r="K68" s="390">
        <f t="shared" si="5"/>
        <v>354.63734381250003</v>
      </c>
      <c r="L68" s="390">
        <f t="shared" si="5"/>
        <v>0</v>
      </c>
      <c r="M68" s="390">
        <f t="shared" ref="M68:AB68" si="6">IF((M66-$C$66)/$C$65-INT((M66-$C$66)/$C$65)=0,SUMIF(M67:AL67,(M66-$C$66)/$C$65+1,M69:AL69),0)</f>
        <v>363.28703512500005</v>
      </c>
      <c r="N68" s="390">
        <f t="shared" si="6"/>
        <v>0</v>
      </c>
      <c r="O68" s="390">
        <f t="shared" si="6"/>
        <v>381.45138688125002</v>
      </c>
      <c r="P68" s="390">
        <f t="shared" si="6"/>
        <v>0</v>
      </c>
      <c r="Q68" s="390">
        <f t="shared" si="6"/>
        <v>390.9876715532813</v>
      </c>
      <c r="R68" s="390">
        <f t="shared" si="6"/>
        <v>0</v>
      </c>
      <c r="S68" s="390">
        <f t="shared" si="6"/>
        <v>400.52395622531259</v>
      </c>
      <c r="T68" s="390">
        <f t="shared" si="6"/>
        <v>0</v>
      </c>
      <c r="U68" s="390">
        <f t="shared" si="6"/>
        <v>420.55015403657814</v>
      </c>
      <c r="V68" s="390">
        <f t="shared" si="6"/>
        <v>0</v>
      </c>
      <c r="W68" s="390">
        <f t="shared" si="6"/>
        <v>431.06390788749263</v>
      </c>
      <c r="X68" s="390">
        <f t="shared" si="6"/>
        <v>0</v>
      </c>
      <c r="Y68" s="390">
        <f t="shared" si="6"/>
        <v>441.57766173840713</v>
      </c>
      <c r="Z68" s="390">
        <f t="shared" si="6"/>
        <v>0</v>
      </c>
      <c r="AA68" s="390">
        <f t="shared" si="6"/>
        <v>463.65654482532744</v>
      </c>
      <c r="AB68" s="390">
        <f t="shared" si="6"/>
        <v>0</v>
      </c>
    </row>
    <row r="69" spans="1:28" ht="22.95" customHeight="1" x14ac:dyDescent="0.3">
      <c r="A69" s="194">
        <v>26.8</v>
      </c>
      <c r="B69" s="194" t="s">
        <v>371</v>
      </c>
      <c r="C69" s="382">
        <f>$C$59*(1+$C$64)^(INT((C66-$C$66)/$C$63))</f>
        <v>156.91050000000001</v>
      </c>
      <c r="D69" s="382">
        <f t="shared" ref="D69:AB69" si="7">$C$59*(1+$C$64)^(INT((D66-$C$66)/$C$63))</f>
        <v>156.91050000000001</v>
      </c>
      <c r="E69" s="382">
        <f t="shared" si="7"/>
        <v>156.91050000000001</v>
      </c>
      <c r="F69" s="382">
        <f t="shared" si="7"/>
        <v>164.75602500000002</v>
      </c>
      <c r="G69" s="382">
        <f t="shared" si="7"/>
        <v>164.75602500000002</v>
      </c>
      <c r="H69" s="382">
        <f t="shared" si="7"/>
        <v>164.75602500000002</v>
      </c>
      <c r="I69" s="382">
        <f t="shared" si="7"/>
        <v>172.99382625000001</v>
      </c>
      <c r="J69" s="382">
        <f t="shared" si="7"/>
        <v>172.99382625000001</v>
      </c>
      <c r="K69" s="382">
        <f t="shared" si="7"/>
        <v>172.99382625000001</v>
      </c>
      <c r="L69" s="382">
        <f t="shared" si="7"/>
        <v>181.64351756250002</v>
      </c>
      <c r="M69" s="382">
        <f t="shared" si="7"/>
        <v>181.64351756250002</v>
      </c>
      <c r="N69" s="382">
        <f t="shared" si="7"/>
        <v>181.64351756250002</v>
      </c>
      <c r="O69" s="382">
        <f t="shared" si="7"/>
        <v>190.72569344062501</v>
      </c>
      <c r="P69" s="382">
        <f t="shared" si="7"/>
        <v>190.72569344062501</v>
      </c>
      <c r="Q69" s="382">
        <f t="shared" si="7"/>
        <v>190.72569344062501</v>
      </c>
      <c r="R69" s="382">
        <f t="shared" si="7"/>
        <v>200.26197811265629</v>
      </c>
      <c r="S69" s="382">
        <f t="shared" si="7"/>
        <v>200.26197811265629</v>
      </c>
      <c r="T69" s="382">
        <f t="shared" si="7"/>
        <v>200.26197811265629</v>
      </c>
      <c r="U69" s="382">
        <f t="shared" si="7"/>
        <v>210.27507701828907</v>
      </c>
      <c r="V69" s="382">
        <f t="shared" si="7"/>
        <v>210.27507701828907</v>
      </c>
      <c r="W69" s="382">
        <f t="shared" si="7"/>
        <v>210.27507701828907</v>
      </c>
      <c r="X69" s="382">
        <f t="shared" si="7"/>
        <v>220.78883086920357</v>
      </c>
      <c r="Y69" s="382">
        <f t="shared" si="7"/>
        <v>220.78883086920357</v>
      </c>
      <c r="Z69" s="382">
        <f t="shared" si="7"/>
        <v>220.78883086920357</v>
      </c>
      <c r="AA69" s="382">
        <f t="shared" si="7"/>
        <v>231.82827241266372</v>
      </c>
      <c r="AB69" s="382">
        <f t="shared" si="7"/>
        <v>231.82827241266372</v>
      </c>
    </row>
    <row r="70" spans="1:28" ht="22.95" customHeight="1" x14ac:dyDescent="0.3">
      <c r="A70" s="194">
        <v>27</v>
      </c>
      <c r="B70" s="194" t="s">
        <v>372</v>
      </c>
      <c r="C70" s="180">
        <v>0.8</v>
      </c>
      <c r="D70" s="194"/>
      <c r="E70" s="501" t="s">
        <v>385</v>
      </c>
      <c r="F70" s="502"/>
      <c r="G70" s="502"/>
      <c r="H70" s="502"/>
      <c r="I70" s="502"/>
      <c r="J70" s="502"/>
      <c r="K70" s="502"/>
      <c r="L70" s="502"/>
    </row>
    <row r="71" spans="1:28" ht="25.2" customHeight="1" x14ac:dyDescent="0.3">
      <c r="A71" s="194">
        <v>28</v>
      </c>
      <c r="B71" s="385" t="s">
        <v>373</v>
      </c>
      <c r="C71" s="386">
        <v>8.5000000000000006E-2</v>
      </c>
      <c r="D71" s="194"/>
      <c r="E71" s="502" t="s">
        <v>374</v>
      </c>
      <c r="F71" s="502"/>
      <c r="G71" s="502"/>
      <c r="H71" s="502"/>
      <c r="I71" s="502"/>
      <c r="J71" s="502"/>
      <c r="K71" s="502"/>
      <c r="L71" s="502"/>
    </row>
    <row r="72" spans="1:28" ht="22.95" customHeight="1" x14ac:dyDescent="0.3">
      <c r="A72" s="194">
        <v>29</v>
      </c>
      <c r="B72" s="385" t="s">
        <v>375</v>
      </c>
      <c r="C72" s="386">
        <v>0.15</v>
      </c>
      <c r="D72" s="194"/>
      <c r="E72" s="502" t="s">
        <v>376</v>
      </c>
      <c r="F72" s="502"/>
      <c r="G72" s="502"/>
      <c r="H72" s="502"/>
      <c r="I72" s="502"/>
      <c r="J72" s="502"/>
      <c r="K72" s="502"/>
      <c r="L72" s="502"/>
    </row>
    <row r="73" spans="1:28" ht="22.95" customHeight="1" x14ac:dyDescent="0.3">
      <c r="A73" s="194">
        <v>30</v>
      </c>
      <c r="B73" s="385" t="s">
        <v>377</v>
      </c>
      <c r="C73" s="387">
        <f>C24</f>
        <v>3379.2526666666668</v>
      </c>
      <c r="D73" s="194" t="s">
        <v>353</v>
      </c>
      <c r="E73" s="502" t="s">
        <v>378</v>
      </c>
      <c r="F73" s="502"/>
      <c r="G73" s="502"/>
      <c r="H73" s="502"/>
      <c r="I73" s="502"/>
      <c r="J73" s="502"/>
      <c r="K73" s="502"/>
      <c r="L73" s="502"/>
    </row>
    <row r="74" spans="1:28" ht="22.95" customHeight="1" x14ac:dyDescent="0.3">
      <c r="A74" s="194">
        <v>31</v>
      </c>
      <c r="B74" s="385" t="s">
        <v>379</v>
      </c>
      <c r="C74" s="387">
        <v>3200</v>
      </c>
      <c r="D74" s="194" t="s">
        <v>322</v>
      </c>
      <c r="E74" s="502" t="s">
        <v>380</v>
      </c>
      <c r="F74" s="502"/>
      <c r="G74" s="502"/>
      <c r="H74" s="502"/>
      <c r="I74" s="502"/>
      <c r="J74" s="502"/>
      <c r="K74" s="502"/>
      <c r="L74" s="502"/>
    </row>
    <row r="75" spans="1:28" ht="22.95" customHeight="1" x14ac:dyDescent="0.3">
      <c r="A75" s="194">
        <v>32</v>
      </c>
      <c r="B75" s="385" t="s">
        <v>381</v>
      </c>
      <c r="C75" s="386">
        <v>0</v>
      </c>
      <c r="D75" s="194"/>
      <c r="E75" s="502" t="s">
        <v>382</v>
      </c>
      <c r="F75" s="502"/>
      <c r="G75" s="502"/>
      <c r="H75" s="502"/>
      <c r="I75" s="502"/>
      <c r="J75" s="502"/>
      <c r="K75" s="502"/>
      <c r="L75" s="502"/>
    </row>
    <row r="76" spans="1:28" ht="22.95" customHeight="1" x14ac:dyDescent="0.3">
      <c r="A76" s="194">
        <v>33</v>
      </c>
      <c r="B76" s="482" t="s">
        <v>544</v>
      </c>
      <c r="C76" s="483">
        <v>25</v>
      </c>
      <c r="D76" s="194"/>
      <c r="E76" s="502"/>
      <c r="F76" s="502"/>
      <c r="G76" s="502"/>
      <c r="H76" s="502"/>
      <c r="I76" s="502"/>
      <c r="J76" s="502"/>
      <c r="K76" s="502"/>
      <c r="L76" s="502"/>
    </row>
    <row r="77" spans="1:28" ht="22.95" customHeight="1" x14ac:dyDescent="0.3">
      <c r="A77" s="194"/>
      <c r="B77" s="492" t="s">
        <v>549</v>
      </c>
      <c r="C77" s="491">
        <v>300</v>
      </c>
      <c r="D77" s="194"/>
      <c r="E77" s="489"/>
      <c r="F77" s="489"/>
      <c r="G77" s="489"/>
      <c r="H77" s="489"/>
      <c r="I77" s="489"/>
      <c r="J77" s="489"/>
      <c r="K77" s="489"/>
      <c r="L77" s="489"/>
    </row>
    <row r="78" spans="1:28" ht="22.95" customHeight="1" x14ac:dyDescent="0.3">
      <c r="A78" s="194"/>
      <c r="B78" s="492" t="s">
        <v>555</v>
      </c>
      <c r="C78" s="491">
        <v>3000</v>
      </c>
      <c r="D78" s="194"/>
      <c r="E78" s="489"/>
      <c r="F78" s="489"/>
      <c r="G78" s="489"/>
      <c r="H78" s="489"/>
      <c r="I78" s="489"/>
      <c r="J78" s="489"/>
      <c r="K78" s="489"/>
      <c r="L78" s="489"/>
    </row>
    <row r="79" spans="1:28" ht="22.95" customHeight="1" x14ac:dyDescent="0.3">
      <c r="A79" s="513" t="s">
        <v>383</v>
      </c>
      <c r="B79" s="514"/>
      <c r="C79" s="514"/>
      <c r="D79" s="514"/>
      <c r="E79" s="514"/>
      <c r="F79" s="514"/>
      <c r="G79" s="514"/>
      <c r="H79" s="514"/>
      <c r="I79" s="514"/>
      <c r="J79" s="514"/>
      <c r="K79" s="514"/>
      <c r="L79" s="514"/>
    </row>
  </sheetData>
  <mergeCells count="69">
    <mergeCell ref="E76:L76"/>
    <mergeCell ref="E18:L18"/>
    <mergeCell ref="E24:L24"/>
    <mergeCell ref="E26:L26"/>
    <mergeCell ref="E30:L30"/>
    <mergeCell ref="E29:L29"/>
    <mergeCell ref="E35:L35"/>
    <mergeCell ref="E25:L25"/>
    <mergeCell ref="E28:L28"/>
    <mergeCell ref="E27:L27"/>
    <mergeCell ref="E73:L73"/>
    <mergeCell ref="E62:L62"/>
    <mergeCell ref="E64:L64"/>
    <mergeCell ref="E63:L63"/>
    <mergeCell ref="E74:L74"/>
    <mergeCell ref="E72:L72"/>
    <mergeCell ref="E65:L65"/>
    <mergeCell ref="E53:L53"/>
    <mergeCell ref="E39:L39"/>
    <mergeCell ref="E50:L50"/>
    <mergeCell ref="E32:L32"/>
    <mergeCell ref="E59:L59"/>
    <mergeCell ref="E45:L45"/>
    <mergeCell ref="E54:L54"/>
    <mergeCell ref="E21:L21"/>
    <mergeCell ref="E11:L11"/>
    <mergeCell ref="E23:L23"/>
    <mergeCell ref="E19:L19"/>
    <mergeCell ref="E16:L16"/>
    <mergeCell ref="E17:L17"/>
    <mergeCell ref="E22:L22"/>
    <mergeCell ref="E20:L20"/>
    <mergeCell ref="E1:L1"/>
    <mergeCell ref="E7:L7"/>
    <mergeCell ref="E8:L8"/>
    <mergeCell ref="E15:L15"/>
    <mergeCell ref="E3:L3"/>
    <mergeCell ref="E2:L2"/>
    <mergeCell ref="E9:L9"/>
    <mergeCell ref="E14:L14"/>
    <mergeCell ref="E10:L10"/>
    <mergeCell ref="A79:L79"/>
    <mergeCell ref="E71:L71"/>
    <mergeCell ref="E55:L55"/>
    <mergeCell ref="E56:L56"/>
    <mergeCell ref="E57:L57"/>
    <mergeCell ref="E70:L70"/>
    <mergeCell ref="E61:L61"/>
    <mergeCell ref="E58:L58"/>
    <mergeCell ref="E60:L60"/>
    <mergeCell ref="E75:L75"/>
    <mergeCell ref="B12:B13"/>
    <mergeCell ref="A12:A13"/>
    <mergeCell ref="B51:B52"/>
    <mergeCell ref="E47:L47"/>
    <mergeCell ref="E46:L46"/>
    <mergeCell ref="E40:L40"/>
    <mergeCell ref="E49:L49"/>
    <mergeCell ref="E38:L38"/>
    <mergeCell ref="E41:L42"/>
    <mergeCell ref="E48:L48"/>
    <mergeCell ref="A51:A52"/>
    <mergeCell ref="E31:L31"/>
    <mergeCell ref="E34:L34"/>
    <mergeCell ref="E36:L36"/>
    <mergeCell ref="E37:L37"/>
    <mergeCell ref="E33:L33"/>
    <mergeCell ref="E43:L43"/>
    <mergeCell ref="E44:L44"/>
  </mergeCells>
  <phoneticPr fontId="61" type="noConversion"/>
  <dataValidations count="1">
    <dataValidation type="list" allowBlank="1" showInputMessage="1" showErrorMessage="1" sqref="C41" xr:uid="{6C12895E-0A2B-461B-9DD2-2107405DC30E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4E9F-3912-4034-A9C7-1025672FBC03}">
  <sheetPr>
    <pageSetUpPr fitToPage="1"/>
  </sheetPr>
  <dimension ref="B1:K65"/>
  <sheetViews>
    <sheetView topLeftCell="A25" zoomScale="115" zoomScaleNormal="115" workbookViewId="0">
      <selection activeCell="H35" sqref="H35"/>
    </sheetView>
  </sheetViews>
  <sheetFormatPr defaultColWidth="9" defaultRowHeight="14.15" x14ac:dyDescent="0.3"/>
  <cols>
    <col min="1" max="1" width="2.7109375" style="406" customWidth="1"/>
    <col min="2" max="2" width="4.85546875" style="406" customWidth="1"/>
    <col min="3" max="3" width="35.35546875" style="406" customWidth="1"/>
    <col min="4" max="4" width="11.0703125" style="406" customWidth="1"/>
    <col min="5" max="5" width="9.35546875" style="406" customWidth="1"/>
    <col min="6" max="6" width="5.7109375" style="406" customWidth="1"/>
    <col min="7" max="7" width="34.85546875" style="406" customWidth="1"/>
    <col min="8" max="8" width="12.5" style="406" bestFit="1" customWidth="1"/>
    <col min="9" max="9" width="13.7109375" style="406" customWidth="1"/>
    <col min="10" max="16384" width="9" style="406"/>
  </cols>
  <sheetData>
    <row r="1" spans="2:9" ht="11.25" customHeight="1" x14ac:dyDescent="0.3"/>
    <row r="2" spans="2:9" ht="20.149999999999999" x14ac:dyDescent="0.3">
      <c r="E2" s="526" t="s">
        <v>425</v>
      </c>
      <c r="F2" s="526"/>
      <c r="G2" s="526"/>
    </row>
    <row r="3" spans="2:9" ht="9" customHeight="1" thickBot="1" x14ac:dyDescent="0.35"/>
    <row r="4" spans="2:9" ht="18" customHeight="1" x14ac:dyDescent="0.3">
      <c r="B4" s="445" t="s">
        <v>426</v>
      </c>
      <c r="C4" s="446" t="s">
        <v>427</v>
      </c>
      <c r="D4" s="446" t="s">
        <v>428</v>
      </c>
      <c r="E4" s="447" t="s">
        <v>429</v>
      </c>
      <c r="F4" s="445" t="s">
        <v>426</v>
      </c>
      <c r="G4" s="446" t="s">
        <v>427</v>
      </c>
      <c r="H4" s="446" t="s">
        <v>428</v>
      </c>
      <c r="I4" s="447" t="s">
        <v>429</v>
      </c>
    </row>
    <row r="5" spans="2:9" ht="14.6" x14ac:dyDescent="0.3">
      <c r="B5" s="407">
        <v>1</v>
      </c>
      <c r="C5" s="411" t="s">
        <v>430</v>
      </c>
      <c r="D5" s="254">
        <f>参数表!C2</f>
        <v>15</v>
      </c>
      <c r="E5" s="409" t="s">
        <v>431</v>
      </c>
      <c r="F5" s="407">
        <v>10</v>
      </c>
      <c r="G5" s="411" t="s">
        <v>432</v>
      </c>
      <c r="H5" s="254">
        <f>参数表!C2*参数表!C7</f>
        <v>15681.633750000001</v>
      </c>
      <c r="I5" s="410" t="s">
        <v>433</v>
      </c>
    </row>
    <row r="6" spans="2:9" ht="17.25" customHeight="1" x14ac:dyDescent="0.3">
      <c r="B6" s="407">
        <v>2</v>
      </c>
      <c r="C6" s="411" t="s">
        <v>434</v>
      </c>
      <c r="D6" s="254">
        <f>参数表!C23</f>
        <v>3733.4613333333336</v>
      </c>
      <c r="E6" s="409" t="s">
        <v>435</v>
      </c>
      <c r="F6" s="407">
        <v>11</v>
      </c>
      <c r="G6" s="448" t="s">
        <v>436</v>
      </c>
      <c r="H6" s="408">
        <f>参数表!C15</f>
        <v>56315.741000000009</v>
      </c>
      <c r="I6" s="410" t="s">
        <v>437</v>
      </c>
    </row>
    <row r="7" spans="2:9" ht="19.5" customHeight="1" x14ac:dyDescent="0.3">
      <c r="B7" s="407">
        <v>3</v>
      </c>
      <c r="C7" s="411" t="s">
        <v>438</v>
      </c>
      <c r="D7" s="254">
        <f>参数表!C30*100</f>
        <v>20</v>
      </c>
      <c r="E7" s="409" t="s">
        <v>280</v>
      </c>
      <c r="F7" s="407">
        <v>12</v>
      </c>
      <c r="G7" s="411" t="s">
        <v>439</v>
      </c>
      <c r="H7" s="254">
        <f>投资计划!C9</f>
        <v>56837.218705634412</v>
      </c>
      <c r="I7" s="410" t="s">
        <v>437</v>
      </c>
    </row>
    <row r="8" spans="2:9" ht="18" customHeight="1" x14ac:dyDescent="0.3">
      <c r="B8" s="407">
        <v>4</v>
      </c>
      <c r="C8" s="411" t="s">
        <v>440</v>
      </c>
      <c r="D8" s="254">
        <f>参数表!C8</f>
        <v>0.40100000000000002</v>
      </c>
      <c r="E8" s="409" t="s">
        <v>441</v>
      </c>
      <c r="F8" s="407">
        <v>13</v>
      </c>
      <c r="G8" s="449" t="s">
        <v>444</v>
      </c>
      <c r="H8" s="254"/>
      <c r="I8" s="410"/>
    </row>
    <row r="9" spans="2:9" ht="16.5" customHeight="1" x14ac:dyDescent="0.3">
      <c r="B9" s="407">
        <v>5</v>
      </c>
      <c r="C9" s="411" t="s">
        <v>442</v>
      </c>
      <c r="D9" s="254">
        <f>参数表!C7</f>
        <v>1045.4422500000001</v>
      </c>
      <c r="E9" s="409" t="s">
        <v>443</v>
      </c>
      <c r="F9" s="407">
        <v>14</v>
      </c>
      <c r="G9" s="411" t="s">
        <v>447</v>
      </c>
      <c r="H9" s="257">
        <f>现金流量!L29</f>
        <v>7.1209828399705133</v>
      </c>
      <c r="I9" s="410" t="s">
        <v>1</v>
      </c>
    </row>
    <row r="10" spans="2:9" ht="14.6" x14ac:dyDescent="0.3">
      <c r="B10" s="407">
        <v>6</v>
      </c>
      <c r="C10" s="411" t="s">
        <v>445</v>
      </c>
      <c r="D10" s="254">
        <f>H7/H5</f>
        <v>3.6244449788679964</v>
      </c>
      <c r="E10" s="409" t="s">
        <v>446</v>
      </c>
      <c r="F10" s="407"/>
      <c r="G10" s="411" t="s">
        <v>449</v>
      </c>
      <c r="H10" s="257">
        <f>现金流量!H61*100</f>
        <v>9.5588553534437395</v>
      </c>
      <c r="I10" s="410" t="s">
        <v>1</v>
      </c>
    </row>
    <row r="11" spans="2:9" ht="28.3" x14ac:dyDescent="0.3">
      <c r="B11" s="407"/>
      <c r="C11" s="449" t="s">
        <v>448</v>
      </c>
      <c r="D11" s="254"/>
      <c r="E11" s="409"/>
      <c r="F11" s="407"/>
      <c r="G11" s="411" t="s">
        <v>556</v>
      </c>
      <c r="H11" s="255">
        <f>现金流量!D69*100</f>
        <v>12.353621703282048</v>
      </c>
      <c r="I11" s="410" t="s">
        <v>1</v>
      </c>
    </row>
    <row r="12" spans="2:9" x14ac:dyDescent="0.3">
      <c r="B12" s="407">
        <v>7</v>
      </c>
      <c r="C12" s="411" t="s">
        <v>450</v>
      </c>
      <c r="D12" s="254">
        <f>成本!AD22/25</f>
        <v>994.79856016662097</v>
      </c>
      <c r="E12" s="409" t="s">
        <v>437</v>
      </c>
      <c r="F12" s="407">
        <v>15</v>
      </c>
      <c r="G12" s="449" t="s">
        <v>451</v>
      </c>
      <c r="H12" s="254"/>
      <c r="I12" s="410"/>
    </row>
    <row r="13" spans="2:9" ht="14.6" x14ac:dyDescent="0.3">
      <c r="B13" s="407">
        <v>8</v>
      </c>
      <c r="C13" s="411" t="s">
        <v>452</v>
      </c>
      <c r="D13" s="254">
        <f>D12/年发电量</f>
        <v>6.3437176000021106E-2</v>
      </c>
      <c r="E13" s="409" t="s">
        <v>441</v>
      </c>
      <c r="F13" s="407">
        <v>16</v>
      </c>
      <c r="G13" s="411" t="s">
        <v>453</v>
      </c>
      <c r="H13" s="255">
        <f>H38</f>
        <v>79.098035814425629</v>
      </c>
      <c r="I13" s="410" t="s">
        <v>1</v>
      </c>
    </row>
    <row r="14" spans="2:9" ht="14.6" x14ac:dyDescent="0.3">
      <c r="B14" s="407">
        <v>9</v>
      </c>
      <c r="C14" s="411" t="s">
        <v>454</v>
      </c>
      <c r="D14" s="254">
        <f>D12/装机容量</f>
        <v>66.319904011108065</v>
      </c>
      <c r="E14" s="409" t="s">
        <v>455</v>
      </c>
      <c r="F14" s="407">
        <v>17</v>
      </c>
      <c r="G14" s="411" t="s">
        <v>456</v>
      </c>
      <c r="H14" s="254">
        <f>H40</f>
        <v>430.05942577721817</v>
      </c>
      <c r="I14" s="410" t="s">
        <v>437</v>
      </c>
    </row>
    <row r="15" spans="2:9" ht="14.6" thickBot="1" x14ac:dyDescent="0.35">
      <c r="B15" s="412"/>
      <c r="C15" s="450"/>
      <c r="D15" s="413"/>
      <c r="E15" s="414"/>
      <c r="F15" s="412">
        <v>18</v>
      </c>
      <c r="G15" s="450" t="s">
        <v>457</v>
      </c>
      <c r="H15" s="413">
        <f>参数表!C32</f>
        <v>15</v>
      </c>
      <c r="I15" s="451" t="s">
        <v>458</v>
      </c>
    </row>
    <row r="18" spans="2:11" ht="20.25" customHeight="1" x14ac:dyDescent="0.3">
      <c r="E18" s="490" t="s">
        <v>459</v>
      </c>
      <c r="F18" s="490"/>
      <c r="G18" s="490"/>
    </row>
    <row r="19" spans="2:11" ht="14.6" thickBot="1" x14ac:dyDescent="0.35"/>
    <row r="20" spans="2:11" ht="14.6" x14ac:dyDescent="0.3">
      <c r="B20" s="452" t="s">
        <v>426</v>
      </c>
      <c r="C20" s="453" t="s">
        <v>427</v>
      </c>
      <c r="D20" s="453" t="s">
        <v>428</v>
      </c>
      <c r="E20" s="454" t="s">
        <v>429</v>
      </c>
      <c r="F20" s="452" t="s">
        <v>426</v>
      </c>
      <c r="G20" s="453" t="s">
        <v>427</v>
      </c>
      <c r="H20" s="453" t="s">
        <v>428</v>
      </c>
      <c r="I20" s="454" t="s">
        <v>429</v>
      </c>
    </row>
    <row r="21" spans="2:11" ht="14.6" x14ac:dyDescent="0.3">
      <c r="B21" s="415">
        <v>1</v>
      </c>
      <c r="C21" s="416" t="s">
        <v>430</v>
      </c>
      <c r="D21" s="259">
        <f>参数表!C2</f>
        <v>15</v>
      </c>
      <c r="E21" s="417" t="s">
        <v>431</v>
      </c>
      <c r="F21" s="415"/>
      <c r="G21" s="455" t="s">
        <v>444</v>
      </c>
      <c r="H21" s="416"/>
      <c r="I21" s="417"/>
    </row>
    <row r="22" spans="2:11" ht="14.6" x14ac:dyDescent="0.3">
      <c r="B22" s="415">
        <v>2</v>
      </c>
      <c r="C22" s="411" t="s">
        <v>432</v>
      </c>
      <c r="D22" s="254">
        <f>H5</f>
        <v>15681.633750000001</v>
      </c>
      <c r="E22" s="410" t="s">
        <v>433</v>
      </c>
      <c r="F22" s="407">
        <v>18</v>
      </c>
      <c r="G22" s="411" t="s">
        <v>460</v>
      </c>
      <c r="H22" s="254">
        <f>现金流量!I31</f>
        <v>11.772370551823339</v>
      </c>
      <c r="I22" s="410" t="s">
        <v>458</v>
      </c>
    </row>
    <row r="23" spans="2:11" x14ac:dyDescent="0.3">
      <c r="B23" s="415">
        <v>3</v>
      </c>
      <c r="C23" s="411" t="s">
        <v>461</v>
      </c>
      <c r="D23" s="254">
        <f>投资计划!C5</f>
        <v>57287.218705634412</v>
      </c>
      <c r="E23" s="410" t="s">
        <v>437</v>
      </c>
      <c r="F23" s="407">
        <v>19</v>
      </c>
      <c r="G23" s="411" t="s">
        <v>447</v>
      </c>
      <c r="H23" s="254">
        <f>现金流量!L29</f>
        <v>7.1209828399705133</v>
      </c>
      <c r="I23" s="410" t="s">
        <v>1</v>
      </c>
    </row>
    <row r="24" spans="2:11" ht="14.6" x14ac:dyDescent="0.3">
      <c r="B24" s="415">
        <v>4</v>
      </c>
      <c r="C24" s="411" t="s">
        <v>462</v>
      </c>
      <c r="D24" s="254">
        <f>投资计划!H7</f>
        <v>521.47770563440008</v>
      </c>
      <c r="E24" s="410" t="s">
        <v>437</v>
      </c>
      <c r="F24" s="407"/>
      <c r="G24" s="411" t="s">
        <v>463</v>
      </c>
      <c r="H24" s="254">
        <f>现金流量!L30</f>
        <v>11023.466533904575</v>
      </c>
      <c r="I24" s="410" t="s">
        <v>437</v>
      </c>
    </row>
    <row r="25" spans="2:11" x14ac:dyDescent="0.3">
      <c r="B25" s="415">
        <v>5</v>
      </c>
      <c r="C25" s="411" t="s">
        <v>464</v>
      </c>
      <c r="D25" s="254">
        <f>投资计划!C8</f>
        <v>450</v>
      </c>
      <c r="E25" s="410" t="s">
        <v>437</v>
      </c>
      <c r="F25" s="407">
        <v>20</v>
      </c>
      <c r="G25" s="419" t="s">
        <v>465</v>
      </c>
      <c r="H25" s="254"/>
      <c r="I25" s="410"/>
    </row>
    <row r="26" spans="2:11" ht="14.6" x14ac:dyDescent="0.3">
      <c r="B26" s="415">
        <v>6</v>
      </c>
      <c r="C26" s="411" t="s">
        <v>466</v>
      </c>
      <c r="D26" s="254"/>
      <c r="E26" s="410"/>
      <c r="F26" s="407">
        <v>20.100000000000001</v>
      </c>
      <c r="G26" s="411" t="s">
        <v>467</v>
      </c>
      <c r="H26" s="256">
        <f>现金流量!I29</f>
        <v>6.1292324950942723</v>
      </c>
      <c r="I26" s="410" t="s">
        <v>1</v>
      </c>
      <c r="J26" s="418"/>
    </row>
    <row r="27" spans="2:11" ht="14.6" x14ac:dyDescent="0.3">
      <c r="B27" s="415">
        <v>6.1</v>
      </c>
      <c r="C27" s="419" t="s">
        <v>468</v>
      </c>
      <c r="D27" s="399">
        <f>D28/(1+增值税率)</f>
        <v>0.35486725663716817</v>
      </c>
      <c r="E27" s="410" t="s">
        <v>469</v>
      </c>
      <c r="F27" s="407">
        <v>20.2</v>
      </c>
      <c r="G27" s="411" t="s">
        <v>470</v>
      </c>
      <c r="H27" s="256">
        <f>现金流量!H61*100</f>
        <v>9.5588553534437395</v>
      </c>
      <c r="I27" s="410" t="s">
        <v>1</v>
      </c>
    </row>
    <row r="28" spans="2:11" ht="14.6" x14ac:dyDescent="0.3">
      <c r="B28" s="415">
        <v>6.2</v>
      </c>
      <c r="C28" s="419" t="s">
        <v>471</v>
      </c>
      <c r="D28" s="399">
        <f>参数表!C8</f>
        <v>0.40100000000000002</v>
      </c>
      <c r="E28" s="410" t="s">
        <v>472</v>
      </c>
      <c r="F28" s="407">
        <v>20.3</v>
      </c>
      <c r="G28" s="411" t="s">
        <v>473</v>
      </c>
      <c r="H28" s="257">
        <f>现金流量!H97*100</f>
        <v>7.0287445409879634</v>
      </c>
      <c r="I28" s="410" t="s">
        <v>1</v>
      </c>
    </row>
    <row r="29" spans="2:11" x14ac:dyDescent="0.3">
      <c r="B29" s="415"/>
      <c r="C29" s="449" t="s">
        <v>448</v>
      </c>
      <c r="D29" s="254"/>
      <c r="E29" s="410"/>
      <c r="F29" s="407">
        <v>21</v>
      </c>
      <c r="G29" s="419" t="s">
        <v>474</v>
      </c>
      <c r="H29" s="254"/>
      <c r="I29" s="410"/>
    </row>
    <row r="30" spans="2:11" ht="14.6" x14ac:dyDescent="0.3">
      <c r="B30" s="415">
        <v>7</v>
      </c>
      <c r="C30" s="411" t="s">
        <v>475</v>
      </c>
      <c r="D30" s="254">
        <f>损益!AF8</f>
        <v>139087.34898133154</v>
      </c>
      <c r="E30" s="410" t="s">
        <v>437</v>
      </c>
      <c r="F30" s="407">
        <v>21.1</v>
      </c>
      <c r="G30" s="419" t="s">
        <v>476</v>
      </c>
      <c r="H30" s="254">
        <f>现金流量!I30</f>
        <v>5520.7270823883891</v>
      </c>
      <c r="I30" s="410" t="s">
        <v>1</v>
      </c>
    </row>
    <row r="31" spans="2:11" ht="14.6" x14ac:dyDescent="0.3">
      <c r="B31" s="415">
        <v>8</v>
      </c>
      <c r="C31" s="411" t="s">
        <v>477</v>
      </c>
      <c r="D31" s="254">
        <f>成本!AD21</f>
        <v>97217.019553216596</v>
      </c>
      <c r="E31" s="410" t="s">
        <v>437</v>
      </c>
      <c r="F31" s="407">
        <v>21.2</v>
      </c>
      <c r="G31" s="419" t="s">
        <v>478</v>
      </c>
      <c r="H31" s="254">
        <f>现金流量!H62</f>
        <v>1908.709312658254</v>
      </c>
      <c r="I31" s="410" t="s">
        <v>437</v>
      </c>
      <c r="J31" s="418"/>
      <c r="K31" s="418"/>
    </row>
    <row r="32" spans="2:11" ht="14.6" x14ac:dyDescent="0.3">
      <c r="B32" s="415">
        <v>9</v>
      </c>
      <c r="C32" s="411" t="s">
        <v>479</v>
      </c>
      <c r="D32" s="254">
        <f>损益!AF9</f>
        <v>1261.1226225935759</v>
      </c>
      <c r="E32" s="410" t="s">
        <v>437</v>
      </c>
      <c r="F32" s="407">
        <v>21.3</v>
      </c>
      <c r="G32" s="419" t="s">
        <v>480</v>
      </c>
      <c r="H32" s="254">
        <f>现金流量!H98</f>
        <v>-1511.6988896797836</v>
      </c>
      <c r="I32" s="410" t="s">
        <v>437</v>
      </c>
      <c r="K32" s="418"/>
    </row>
    <row r="33" spans="2:11" ht="14.6" x14ac:dyDescent="0.3">
      <c r="B33" s="415">
        <v>10</v>
      </c>
      <c r="C33" s="411" t="s">
        <v>481</v>
      </c>
      <c r="D33" s="254">
        <f>损益!AF15</f>
        <v>40609.206805521368</v>
      </c>
      <c r="E33" s="410" t="s">
        <v>437</v>
      </c>
      <c r="F33" s="407">
        <v>22</v>
      </c>
      <c r="G33" s="411" t="s">
        <v>445</v>
      </c>
      <c r="H33" s="254">
        <f>D10</f>
        <v>3.6244449788679964</v>
      </c>
      <c r="I33" s="410" t="s">
        <v>446</v>
      </c>
      <c r="K33" s="418"/>
    </row>
    <row r="34" spans="2:11" x14ac:dyDescent="0.3">
      <c r="B34" s="415">
        <v>11</v>
      </c>
      <c r="C34" s="411" t="s">
        <v>450</v>
      </c>
      <c r="D34" s="254">
        <f>成本!AD22/25</f>
        <v>994.79856016662097</v>
      </c>
      <c r="E34" s="410" t="s">
        <v>437</v>
      </c>
      <c r="F34" s="407">
        <v>23</v>
      </c>
      <c r="G34" s="419" t="s">
        <v>482</v>
      </c>
      <c r="H34" s="254">
        <f>D33/总投资/25*100</f>
        <v>2.8354811228793202</v>
      </c>
      <c r="I34" s="410" t="s">
        <v>1</v>
      </c>
      <c r="K34" s="418"/>
    </row>
    <row r="35" spans="2:11" ht="14.6" x14ac:dyDescent="0.3">
      <c r="B35" s="415">
        <v>12</v>
      </c>
      <c r="C35" s="411" t="s">
        <v>452</v>
      </c>
      <c r="D35" s="254">
        <f>D34/年发电量</f>
        <v>6.3437176000021106E-2</v>
      </c>
      <c r="E35" s="410" t="s">
        <v>441</v>
      </c>
      <c r="F35" s="407">
        <v>24</v>
      </c>
      <c r="G35" s="419" t="s">
        <v>483</v>
      </c>
      <c r="H35" s="254">
        <f>(指标汇总!D52+损益!AF21)/25/总投资*100</f>
        <v>1.6346572922821343</v>
      </c>
      <c r="I35" s="410" t="s">
        <v>1</v>
      </c>
    </row>
    <row r="36" spans="2:11" ht="14.6" x14ac:dyDescent="0.3">
      <c r="B36" s="415">
        <v>13</v>
      </c>
      <c r="C36" s="411" t="s">
        <v>454</v>
      </c>
      <c r="D36" s="254">
        <f>D34/装机容量</f>
        <v>66.319904011108065</v>
      </c>
      <c r="E36" s="410" t="s">
        <v>455</v>
      </c>
      <c r="F36" s="407">
        <v>25</v>
      </c>
      <c r="G36" s="411" t="s">
        <v>484</v>
      </c>
      <c r="H36" s="254">
        <f>损益!AF26/25/投资计划!C11*100</f>
        <v>10.847205678031335</v>
      </c>
      <c r="I36" s="410" t="s">
        <v>1</v>
      </c>
    </row>
    <row r="37" spans="2:11" x14ac:dyDescent="0.3">
      <c r="B37" s="415"/>
      <c r="C37" s="455" t="s">
        <v>485</v>
      </c>
      <c r="D37" s="259"/>
      <c r="E37" s="417"/>
      <c r="F37" s="415"/>
      <c r="G37" s="481" t="s">
        <v>542</v>
      </c>
      <c r="H37" s="259"/>
      <c r="I37" s="417"/>
    </row>
    <row r="38" spans="2:11" x14ac:dyDescent="0.3">
      <c r="B38" s="415">
        <v>14</v>
      </c>
      <c r="C38" s="416" t="s">
        <v>442</v>
      </c>
      <c r="D38" s="259">
        <f>参数表!C7</f>
        <v>1045.4422500000001</v>
      </c>
      <c r="E38" s="417" t="s">
        <v>443</v>
      </c>
      <c r="F38" s="415">
        <v>26</v>
      </c>
      <c r="G38" s="416" t="s">
        <v>453</v>
      </c>
      <c r="H38" s="258">
        <f>资产负债!D28*100</f>
        <v>79.098035814425629</v>
      </c>
      <c r="I38" s="417" t="s">
        <v>1</v>
      </c>
    </row>
    <row r="39" spans="2:11" ht="14.6" x14ac:dyDescent="0.3">
      <c r="B39" s="415">
        <v>15</v>
      </c>
      <c r="C39" s="416" t="s">
        <v>445</v>
      </c>
      <c r="D39" s="254">
        <f>D23/D22</f>
        <v>3.6531409685317011</v>
      </c>
      <c r="E39" s="417" t="s">
        <v>446</v>
      </c>
      <c r="F39" s="415">
        <v>27</v>
      </c>
      <c r="G39" s="416" t="s">
        <v>486</v>
      </c>
      <c r="H39" s="259">
        <f>MIN(0,损益!AF16)</f>
        <v>0</v>
      </c>
      <c r="I39" s="417" t="s">
        <v>437</v>
      </c>
    </row>
    <row r="40" spans="2:11" ht="14.6" x14ac:dyDescent="0.3">
      <c r="B40" s="415">
        <v>16</v>
      </c>
      <c r="C40" s="416" t="s">
        <v>434</v>
      </c>
      <c r="D40" s="259">
        <f>参数表!C23</f>
        <v>3733.4613333333336</v>
      </c>
      <c r="E40" s="417" t="s">
        <v>487</v>
      </c>
      <c r="F40" s="415">
        <v>28</v>
      </c>
      <c r="G40" s="416" t="s">
        <v>456</v>
      </c>
      <c r="H40" s="259">
        <f>财务计划!C22</f>
        <v>430.05942577721817</v>
      </c>
      <c r="I40" s="417" t="s">
        <v>437</v>
      </c>
    </row>
    <row r="41" spans="2:11" x14ac:dyDescent="0.3">
      <c r="B41" s="415">
        <v>17</v>
      </c>
      <c r="C41" s="416" t="s">
        <v>488</v>
      </c>
      <c r="D41" s="259">
        <f>参数表!C30*100</f>
        <v>20</v>
      </c>
      <c r="E41" s="417" t="s">
        <v>1</v>
      </c>
      <c r="F41" s="415">
        <v>29</v>
      </c>
      <c r="G41" s="416" t="s">
        <v>489</v>
      </c>
      <c r="H41" s="259">
        <f>参数表!C32</f>
        <v>15</v>
      </c>
      <c r="I41" s="417" t="s">
        <v>458</v>
      </c>
    </row>
    <row r="42" spans="2:11" x14ac:dyDescent="0.3">
      <c r="B42" s="415"/>
      <c r="C42" s="455" t="s">
        <v>490</v>
      </c>
      <c r="D42" s="420"/>
      <c r="E42" s="421"/>
      <c r="F42" s="415">
        <v>30</v>
      </c>
      <c r="G42" s="416" t="s">
        <v>491</v>
      </c>
      <c r="H42" s="259">
        <f>参数表!C32</f>
        <v>15</v>
      </c>
      <c r="I42" s="417" t="s">
        <v>458</v>
      </c>
    </row>
    <row r="43" spans="2:11" x14ac:dyDescent="0.3">
      <c r="B43" s="422"/>
      <c r="C43" s="456" t="s">
        <v>492</v>
      </c>
      <c r="D43" s="423">
        <f>投资计划!B27</f>
        <v>11457.443741126881</v>
      </c>
      <c r="E43" s="417" t="s">
        <v>493</v>
      </c>
      <c r="F43" s="424">
        <v>31</v>
      </c>
      <c r="G43" s="457" t="s">
        <v>494</v>
      </c>
      <c r="H43" s="425">
        <f>还贷!AD29</f>
        <v>20.994915865886647</v>
      </c>
      <c r="I43" s="417"/>
    </row>
    <row r="44" spans="2:11" x14ac:dyDescent="0.3">
      <c r="B44" s="426"/>
      <c r="C44" s="456" t="s">
        <v>495</v>
      </c>
      <c r="D44" s="423">
        <f>估值结果!B11-估值结果!B14</f>
        <v>1130.7513928677072</v>
      </c>
      <c r="E44" s="417" t="s">
        <v>496</v>
      </c>
      <c r="F44" s="427">
        <v>32</v>
      </c>
      <c r="G44" s="457" t="s">
        <v>497</v>
      </c>
      <c r="H44" s="428">
        <f>还贷!AD32</f>
        <v>1.1071357121501415</v>
      </c>
      <c r="I44" s="417"/>
    </row>
    <row r="45" spans="2:11" x14ac:dyDescent="0.3">
      <c r="B45" s="426"/>
      <c r="C45" s="488" t="s">
        <v>549</v>
      </c>
      <c r="D45" s="423">
        <f>((参数表!C73-参数表!C74)*参数表!C2-参数表!C73*参数表!C2/(1+12%)*参数表!C75-((参数表!C73-参数表!C74)*参数表!C2/(1+12%)*12%*1.12))*(1-参数表!C72)</f>
        <v>2011.2149200000008</v>
      </c>
      <c r="E45" s="430"/>
      <c r="F45" s="429"/>
      <c r="G45" s="494" t="s">
        <v>557</v>
      </c>
      <c r="H45" s="495">
        <f>现金流量!AD20/25/总投资</f>
        <v>4.1737125797067537E-2</v>
      </c>
      <c r="I45" s="430"/>
    </row>
    <row r="46" spans="2:11" ht="15" thickBot="1" x14ac:dyDescent="0.35">
      <c r="B46" s="431"/>
      <c r="C46" s="458" t="s">
        <v>498</v>
      </c>
      <c r="D46" s="459">
        <f>D44+D45</f>
        <v>3141.966312867708</v>
      </c>
      <c r="E46" s="434" t="s">
        <v>499</v>
      </c>
      <c r="F46" s="432"/>
      <c r="G46" s="433"/>
      <c r="H46" s="433"/>
      <c r="I46" s="434"/>
    </row>
    <row r="47" spans="2:11" x14ac:dyDescent="0.3">
      <c r="B47" s="420"/>
      <c r="C47" s="420"/>
      <c r="D47" s="420"/>
      <c r="E47" s="420"/>
      <c r="F47" s="420"/>
      <c r="G47" s="420"/>
      <c r="H47" s="435"/>
      <c r="I47" s="420"/>
    </row>
    <row r="48" spans="2:11" ht="15" thickBot="1" x14ac:dyDescent="0.35">
      <c r="C48" s="436" t="s">
        <v>500</v>
      </c>
      <c r="G48" s="436" t="s">
        <v>501</v>
      </c>
    </row>
    <row r="49" spans="2:9" ht="20.5" customHeight="1" x14ac:dyDescent="0.3">
      <c r="B49" s="460" t="s">
        <v>502</v>
      </c>
      <c r="C49" s="461" t="s">
        <v>503</v>
      </c>
      <c r="D49" s="461" t="s">
        <v>504</v>
      </c>
      <c r="E49" s="462" t="s">
        <v>505</v>
      </c>
      <c r="F49" s="460" t="s">
        <v>506</v>
      </c>
      <c r="G49" s="461" t="s">
        <v>507</v>
      </c>
      <c r="H49" s="461" t="s">
        <v>508</v>
      </c>
      <c r="I49" s="462" t="s">
        <v>509</v>
      </c>
    </row>
    <row r="50" spans="2:9" ht="20.5" customHeight="1" x14ac:dyDescent="0.3">
      <c r="B50" s="404">
        <v>1</v>
      </c>
      <c r="C50" s="439" t="s">
        <v>510</v>
      </c>
      <c r="D50" s="441">
        <f>成本!AD8</f>
        <v>2700</v>
      </c>
      <c r="E50" s="437" t="s">
        <v>499</v>
      </c>
      <c r="F50" s="404">
        <v>1</v>
      </c>
      <c r="G50" s="439" t="str">
        <f>C52</f>
        <v>生产税（增值税、增值税附加税等）金额</v>
      </c>
      <c r="H50" s="441">
        <f>D52</f>
        <v>13872.348848529333</v>
      </c>
      <c r="I50" s="437" t="str">
        <f>E52</f>
        <v>万元</v>
      </c>
    </row>
    <row r="51" spans="2:9" ht="20.5" customHeight="1" x14ac:dyDescent="0.3">
      <c r="B51" s="404">
        <v>2</v>
      </c>
      <c r="C51" s="439" t="s">
        <v>511</v>
      </c>
      <c r="D51" s="441">
        <f>成本!AD6+成本!AD12</f>
        <v>53181.166012542883</v>
      </c>
      <c r="E51" s="437" t="s">
        <v>512</v>
      </c>
      <c r="F51" s="404">
        <v>2</v>
      </c>
      <c r="G51" s="439" t="s">
        <v>513</v>
      </c>
      <c r="H51" s="441">
        <f>损益!AF21</f>
        <v>9538.8936044023631</v>
      </c>
      <c r="I51" s="437" t="s">
        <v>514</v>
      </c>
    </row>
    <row r="52" spans="2:9" ht="34.200000000000003" customHeight="1" x14ac:dyDescent="0.3">
      <c r="B52" s="404">
        <v>3</v>
      </c>
      <c r="C52" s="439" t="s">
        <v>515</v>
      </c>
      <c r="D52" s="441">
        <f>现金流量!AD55+现金流量!AD56</f>
        <v>13872.348848529333</v>
      </c>
      <c r="E52" s="437" t="s">
        <v>499</v>
      </c>
      <c r="F52" s="465">
        <v>3</v>
      </c>
      <c r="G52" s="466" t="s">
        <v>516</v>
      </c>
      <c r="H52" s="467">
        <f>H50+H51</f>
        <v>23411.242452931696</v>
      </c>
      <c r="I52" s="468" t="s">
        <v>499</v>
      </c>
    </row>
    <row r="53" spans="2:9" ht="20.5" customHeight="1" x14ac:dyDescent="0.3">
      <c r="B53" s="404">
        <v>4</v>
      </c>
      <c r="C53" s="439" t="s">
        <v>517</v>
      </c>
      <c r="D53" s="441">
        <f>损益!AF15</f>
        <v>40609.206805521368</v>
      </c>
      <c r="E53" s="437" t="s">
        <v>499</v>
      </c>
      <c r="F53" s="404">
        <v>4</v>
      </c>
      <c r="G53" s="439" t="s">
        <v>518</v>
      </c>
      <c r="H53" s="441">
        <v>306.89999999999998</v>
      </c>
      <c r="I53" s="437" t="s">
        <v>519</v>
      </c>
    </row>
    <row r="54" spans="2:9" ht="20.5" customHeight="1" x14ac:dyDescent="0.3">
      <c r="B54" s="404">
        <v>5</v>
      </c>
      <c r="C54" s="439" t="s">
        <v>520</v>
      </c>
      <c r="D54" s="441">
        <f>成本!AD13</f>
        <v>19165.889536508213</v>
      </c>
      <c r="E54" s="437" t="s">
        <v>499</v>
      </c>
      <c r="F54" s="404">
        <v>5</v>
      </c>
      <c r="G54" s="440" t="s">
        <v>521</v>
      </c>
      <c r="H54" s="442">
        <f>H53*年发电量/1000000</f>
        <v>4.8126933978749999</v>
      </c>
      <c r="I54" s="438" t="s">
        <v>522</v>
      </c>
    </row>
    <row r="55" spans="2:9" ht="20.5" customHeight="1" x14ac:dyDescent="0.3">
      <c r="B55" s="404">
        <v>6</v>
      </c>
      <c r="C55" s="439" t="s">
        <v>523</v>
      </c>
      <c r="D55" s="443">
        <f>D53+D52+D51+D50+D54</f>
        <v>129528.6112031018</v>
      </c>
      <c r="E55" s="437" t="s">
        <v>499</v>
      </c>
      <c r="F55" s="404">
        <v>6</v>
      </c>
      <c r="G55" s="440" t="s">
        <v>524</v>
      </c>
      <c r="H55" s="463">
        <f>H54*2.7</f>
        <v>12.9942721742625</v>
      </c>
      <c r="I55" s="438" t="s">
        <v>522</v>
      </c>
    </row>
    <row r="56" spans="2:9" ht="46.2" customHeight="1" x14ac:dyDescent="0.3">
      <c r="B56" s="404">
        <v>7</v>
      </c>
      <c r="C56" s="439" t="s">
        <v>525</v>
      </c>
      <c r="D56" s="443">
        <f>总投资*0.95</f>
        <v>54422.85777035269</v>
      </c>
      <c r="E56" s="437" t="s">
        <v>499</v>
      </c>
      <c r="F56" s="404">
        <v>7</v>
      </c>
      <c r="G56" s="439" t="s">
        <v>533</v>
      </c>
      <c r="H56" s="464">
        <f>115152/111000</f>
        <v>1.0374054054054054</v>
      </c>
      <c r="I56" s="437" t="s">
        <v>532</v>
      </c>
    </row>
    <row r="57" spans="2:9" ht="20.5" customHeight="1" x14ac:dyDescent="0.3">
      <c r="B57" s="404">
        <v>8</v>
      </c>
      <c r="C57" s="439" t="s">
        <v>526</v>
      </c>
      <c r="D57" s="444">
        <v>0.3</v>
      </c>
      <c r="E57" s="437"/>
      <c r="F57" s="465">
        <v>8</v>
      </c>
      <c r="G57" s="469" t="s">
        <v>531</v>
      </c>
      <c r="H57" s="470">
        <f>H55/H56</f>
        <v>12.525741726962082</v>
      </c>
      <c r="I57" s="471" t="s">
        <v>424</v>
      </c>
    </row>
    <row r="58" spans="2:9" ht="20.5" customHeight="1" x14ac:dyDescent="0.3">
      <c r="B58" s="404">
        <v>9</v>
      </c>
      <c r="C58" s="439" t="s">
        <v>527</v>
      </c>
      <c r="D58" s="443">
        <f>D56*D57</f>
        <v>16326.857331105806</v>
      </c>
      <c r="E58" s="437" t="s">
        <v>499</v>
      </c>
      <c r="F58" s="404"/>
      <c r="G58" s="405"/>
      <c r="H58" s="405"/>
      <c r="I58" s="437"/>
    </row>
    <row r="59" spans="2:9" ht="20.5" customHeight="1" x14ac:dyDescent="0.3">
      <c r="B59" s="404">
        <v>10</v>
      </c>
      <c r="C59" s="439" t="s">
        <v>528</v>
      </c>
      <c r="D59" s="443">
        <v>4392</v>
      </c>
      <c r="E59" s="437" t="s">
        <v>529</v>
      </c>
      <c r="F59" s="404"/>
      <c r="G59" s="405"/>
      <c r="H59" s="405"/>
      <c r="I59" s="437"/>
    </row>
    <row r="60" spans="2:9" ht="40.200000000000003" customHeight="1" thickBot="1" x14ac:dyDescent="0.35">
      <c r="B60" s="465">
        <v>11</v>
      </c>
      <c r="C60" s="466" t="s">
        <v>530</v>
      </c>
      <c r="D60" s="467">
        <f>D58+D55+D59</f>
        <v>150247.46853420761</v>
      </c>
      <c r="E60" s="468" t="s">
        <v>499</v>
      </c>
      <c r="F60" s="478"/>
      <c r="G60" s="479"/>
      <c r="H60" s="479"/>
      <c r="I60" s="480"/>
    </row>
    <row r="63" spans="2:9" ht="14.6" x14ac:dyDescent="0.3">
      <c r="C63" s="439" t="s">
        <v>545</v>
      </c>
      <c r="D63" s="405"/>
    </row>
    <row r="64" spans="2:9" x14ac:dyDescent="0.3">
      <c r="C64" s="486" t="s">
        <v>546</v>
      </c>
      <c r="D64" s="487">
        <f>现金流量!L33</f>
        <v>5.9648832833042897</v>
      </c>
    </row>
    <row r="65" spans="3:4" x14ac:dyDescent="0.3">
      <c r="C65" s="486" t="s">
        <v>547</v>
      </c>
      <c r="D65" s="487">
        <f>现金流量!H64</f>
        <v>7.807749175342571</v>
      </c>
    </row>
  </sheetData>
  <mergeCells count="1">
    <mergeCell ref="E2:G2"/>
  </mergeCells>
  <phoneticPr fontId="61" type="noConversion"/>
  <pageMargins left="0.75" right="0.75" top="1" bottom="1" header="0.5" footer="0.5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743A-046C-40B1-A986-F1928D975863}">
  <dimension ref="A1:T40"/>
  <sheetViews>
    <sheetView topLeftCell="A7" zoomScaleNormal="100" workbookViewId="0">
      <selection activeCell="C9" sqref="C9"/>
    </sheetView>
  </sheetViews>
  <sheetFormatPr defaultColWidth="9" defaultRowHeight="14.15" x14ac:dyDescent="0.3"/>
  <cols>
    <col min="1" max="1" width="13.85546875" style="138" bestFit="1" customWidth="1"/>
    <col min="2" max="2" width="20.5" style="138" customWidth="1"/>
    <col min="3" max="3" width="11.7109375" style="138" bestFit="1" customWidth="1"/>
    <col min="4" max="4" width="10.35546875" style="139" hidden="1" customWidth="1"/>
    <col min="5" max="5" width="10.35546875" style="138" hidden="1" customWidth="1"/>
    <col min="6" max="7" width="10.35546875" style="138" customWidth="1"/>
    <col min="8" max="8" width="10.35546875" style="139" customWidth="1"/>
    <col min="9" max="11" width="10.35546875" style="138" customWidth="1"/>
    <col min="12" max="12" width="7.35546875" style="138" customWidth="1"/>
    <col min="13" max="13" width="7" style="138" customWidth="1"/>
    <col min="14" max="14" width="7.5703125" style="138" bestFit="1" customWidth="1"/>
    <col min="15" max="15" width="9.5703125" style="138" customWidth="1"/>
    <col min="16" max="16384" width="9" style="138"/>
  </cols>
  <sheetData>
    <row r="1" spans="1:20" ht="27.75" customHeight="1" x14ac:dyDescent="0.3">
      <c r="A1" s="527" t="s">
        <v>9</v>
      </c>
      <c r="B1" s="527"/>
      <c r="C1" s="527"/>
      <c r="D1" s="527"/>
      <c r="E1" s="527"/>
      <c r="F1" s="527"/>
      <c r="G1" s="527"/>
      <c r="H1" s="527"/>
      <c r="I1" s="195"/>
      <c r="J1" s="195"/>
      <c r="K1" s="195"/>
      <c r="L1" s="195"/>
      <c r="M1" s="195"/>
      <c r="N1" s="195"/>
      <c r="O1" s="81"/>
    </row>
    <row r="2" spans="1:20" s="136" customFormat="1" ht="24" customHeight="1" x14ac:dyDescent="0.3">
      <c r="A2" s="196" t="s">
        <v>0</v>
      </c>
      <c r="B2" s="196" t="s">
        <v>10</v>
      </c>
      <c r="C2" s="196" t="s">
        <v>11</v>
      </c>
      <c r="D2" s="197">
        <v>1</v>
      </c>
      <c r="E2" s="197">
        <v>2</v>
      </c>
      <c r="F2" s="197">
        <v>1</v>
      </c>
      <c r="G2" s="197">
        <v>2</v>
      </c>
      <c r="H2" s="196" t="s">
        <v>12</v>
      </c>
      <c r="I2" s="174"/>
    </row>
    <row r="3" spans="1:20" ht="24" customHeight="1" x14ac:dyDescent="0.3">
      <c r="A3" s="198"/>
      <c r="B3" s="199" t="s">
        <v>13</v>
      </c>
      <c r="C3" s="200">
        <v>1</v>
      </c>
      <c r="D3" s="201">
        <f>aa</f>
        <v>0</v>
      </c>
      <c r="E3" s="201">
        <f>ab</f>
        <v>0</v>
      </c>
      <c r="F3" s="201">
        <f>ac</f>
        <v>1</v>
      </c>
      <c r="G3" s="202">
        <v>0</v>
      </c>
      <c r="H3" s="202">
        <v>1</v>
      </c>
    </row>
    <row r="4" spans="1:20" ht="24" customHeight="1" x14ac:dyDescent="0.3">
      <c r="A4" s="198"/>
      <c r="B4" s="199" t="s">
        <v>14</v>
      </c>
      <c r="C4" s="200">
        <v>1</v>
      </c>
      <c r="D4" s="204">
        <f>D11/$C$11</f>
        <v>0</v>
      </c>
      <c r="E4" s="205">
        <f>E11/$C$11</f>
        <v>0</v>
      </c>
      <c r="F4" s="205">
        <f>F11/$C$11</f>
        <v>1</v>
      </c>
      <c r="G4" s="205">
        <f>G11/$C$11</f>
        <v>0</v>
      </c>
      <c r="H4" s="202">
        <f>SUM(D4:G4)</f>
        <v>1</v>
      </c>
    </row>
    <row r="5" spans="1:20" s="137" customFormat="1" ht="32.25" customHeight="1" x14ac:dyDescent="0.3">
      <c r="A5" s="206">
        <v>1</v>
      </c>
      <c r="B5" s="207" t="s">
        <v>3</v>
      </c>
      <c r="C5" s="208">
        <f>SUM(C6:C8)</f>
        <v>57287.218705634412</v>
      </c>
      <c r="D5" s="209">
        <f>D6+D7+D8</f>
        <v>0</v>
      </c>
      <c r="E5" s="209">
        <f>E6+E7+E8</f>
        <v>0</v>
      </c>
      <c r="F5" s="209">
        <f>F6+F7+F8</f>
        <v>56837.218705634412</v>
      </c>
      <c r="G5" s="209">
        <f>G6+G7+G8</f>
        <v>450</v>
      </c>
      <c r="H5" s="210">
        <f>SUM(D5:G5)</f>
        <v>57287.218705634412</v>
      </c>
    </row>
    <row r="6" spans="1:20" ht="32.25" customHeight="1" x14ac:dyDescent="0.3">
      <c r="A6" s="199">
        <v>1.1000000000000001</v>
      </c>
      <c r="B6" s="199" t="s">
        <v>15</v>
      </c>
      <c r="C6" s="211">
        <f>指标汇总!H6</f>
        <v>56315.741000000009</v>
      </c>
      <c r="D6" s="211">
        <f>$C$6*D3</f>
        <v>0</v>
      </c>
      <c r="E6" s="211">
        <f>$C$6*E3</f>
        <v>0</v>
      </c>
      <c r="F6" s="211">
        <f>$C$6*F3</f>
        <v>56315.741000000009</v>
      </c>
      <c r="G6" s="211">
        <f>成本!D54</f>
        <v>0</v>
      </c>
      <c r="H6" s="211">
        <f>SUM(D6:G6)</f>
        <v>56315.741000000009</v>
      </c>
      <c r="I6" s="140"/>
    </row>
    <row r="7" spans="1:20" ht="32.25" customHeight="1" x14ac:dyDescent="0.3">
      <c r="A7" s="212">
        <v>1.2</v>
      </c>
      <c r="B7" s="213" t="s">
        <v>4</v>
      </c>
      <c r="C7" s="211">
        <f>B32</f>
        <v>521.47770563440008</v>
      </c>
      <c r="D7" s="214">
        <f>C32</f>
        <v>0</v>
      </c>
      <c r="E7" s="214">
        <f>F32</f>
        <v>0</v>
      </c>
      <c r="F7" s="215">
        <f>G32</f>
        <v>521.47770563440008</v>
      </c>
      <c r="G7" s="215"/>
      <c r="H7" s="216">
        <f>SUM(D7:G7)</f>
        <v>521.47770563440008</v>
      </c>
    </row>
    <row r="8" spans="1:20" ht="32.25" customHeight="1" x14ac:dyDescent="0.3">
      <c r="A8" s="212">
        <v>1.3</v>
      </c>
      <c r="B8" s="213" t="s">
        <v>5</v>
      </c>
      <c r="C8" s="217">
        <f>流动资金总额</f>
        <v>450</v>
      </c>
      <c r="D8" s="214">
        <f>SUM(D13,D18)</f>
        <v>0</v>
      </c>
      <c r="E8" s="215">
        <f>SUM(E13,E18)</f>
        <v>0</v>
      </c>
      <c r="F8" s="215">
        <f>SUM(F13,F18)</f>
        <v>0</v>
      </c>
      <c r="G8" s="215">
        <f>SUM(G13,G18)</f>
        <v>450</v>
      </c>
      <c r="H8" s="218">
        <f>SUM(D8:G8)</f>
        <v>450</v>
      </c>
    </row>
    <row r="9" spans="1:20" ht="32.25" customHeight="1" x14ac:dyDescent="0.3">
      <c r="A9" s="212"/>
      <c r="B9" s="213" t="s">
        <v>16</v>
      </c>
      <c r="C9" s="219">
        <f>C6+C7</f>
        <v>56837.218705634412</v>
      </c>
      <c r="D9" s="214"/>
      <c r="E9" s="215"/>
      <c r="F9" s="215"/>
      <c r="G9" s="215"/>
      <c r="H9" s="218"/>
    </row>
    <row r="10" spans="1:20" s="137" customFormat="1" ht="32.25" customHeight="1" x14ac:dyDescent="0.3">
      <c r="A10" s="206">
        <v>2</v>
      </c>
      <c r="B10" s="207" t="s">
        <v>17</v>
      </c>
      <c r="C10" s="208">
        <f>SUM(C11,C14)</f>
        <v>57287.218705634412</v>
      </c>
      <c r="D10" s="220">
        <f>SUM(D11,D14)</f>
        <v>0</v>
      </c>
      <c r="E10" s="208">
        <f>SUM(E11,E14)</f>
        <v>0</v>
      </c>
      <c r="F10" s="208">
        <f>SUM(F11,F14)</f>
        <v>56837.218705634412</v>
      </c>
      <c r="G10" s="208">
        <f>SUM(G11,G14)</f>
        <v>450</v>
      </c>
      <c r="H10" s="221">
        <f>SUM(D10:G10)+D17</f>
        <v>57287.218705634412</v>
      </c>
      <c r="L10" s="138"/>
      <c r="M10" s="138"/>
      <c r="N10" s="138"/>
      <c r="O10" s="138"/>
      <c r="P10" s="138"/>
    </row>
    <row r="11" spans="1:20" s="136" customFormat="1" ht="32.25" customHeight="1" x14ac:dyDescent="0.3">
      <c r="A11" s="222">
        <v>2.1</v>
      </c>
      <c r="B11" s="223" t="s">
        <v>18</v>
      </c>
      <c r="C11" s="224">
        <f>C12+C13</f>
        <v>11457.443741126881</v>
      </c>
      <c r="D11" s="225">
        <f>D12+D13</f>
        <v>0</v>
      </c>
      <c r="E11" s="225">
        <f>E12+E13</f>
        <v>0</v>
      </c>
      <c r="F11" s="225">
        <f>SUM(F12:F13)</f>
        <v>11457.443741126881</v>
      </c>
      <c r="G11" s="225">
        <f>SUM(G12:G13)</f>
        <v>0</v>
      </c>
      <c r="H11" s="226">
        <f>SUM(D11:G11)</f>
        <v>11457.443741126881</v>
      </c>
      <c r="I11" s="376">
        <f>C11/C5</f>
        <v>0.19999999999999998</v>
      </c>
      <c r="M11" s="138"/>
      <c r="N11" s="138"/>
      <c r="O11" s="138"/>
      <c r="P11" s="138"/>
      <c r="Q11" s="138"/>
    </row>
    <row r="12" spans="1:20" ht="32.25" customHeight="1" x14ac:dyDescent="0.3">
      <c r="A12" s="212" t="s">
        <v>19</v>
      </c>
      <c r="B12" s="227" t="s">
        <v>20</v>
      </c>
      <c r="C12" s="229">
        <f>B27</f>
        <v>11457.443741126881</v>
      </c>
      <c r="D12" s="219">
        <v>0</v>
      </c>
      <c r="E12" s="219">
        <v>0</v>
      </c>
      <c r="F12" s="214">
        <f>C12*F3</f>
        <v>11457.443741126881</v>
      </c>
      <c r="G12" s="214">
        <f>C12*G3</f>
        <v>0</v>
      </c>
      <c r="H12" s="228">
        <f>SUM(D12:G12)</f>
        <v>11457.443741126881</v>
      </c>
    </row>
    <row r="13" spans="1:20" ht="32.25" customHeight="1" x14ac:dyDescent="0.3">
      <c r="A13" s="212" t="s">
        <v>21</v>
      </c>
      <c r="B13" s="227" t="s">
        <v>22</v>
      </c>
      <c r="C13" s="219">
        <f>C8*0%</f>
        <v>0</v>
      </c>
      <c r="D13" s="214"/>
      <c r="E13" s="215"/>
      <c r="F13" s="215"/>
      <c r="G13" s="214">
        <f>C13</f>
        <v>0</v>
      </c>
      <c r="H13" s="228">
        <f>SUM(D13:G13)</f>
        <v>0</v>
      </c>
    </row>
    <row r="14" spans="1:20" s="136" customFormat="1" ht="32.25" customHeight="1" x14ac:dyDescent="0.3">
      <c r="A14" s="222">
        <v>2.2000000000000002</v>
      </c>
      <c r="B14" s="223" t="s">
        <v>23</v>
      </c>
      <c r="C14" s="208">
        <f>SUM(C15:C19)</f>
        <v>45829.774964507531</v>
      </c>
      <c r="D14" s="220">
        <f>SUM(D15:D19)</f>
        <v>0</v>
      </c>
      <c r="E14" s="225">
        <f>SUM(E15:E19)</f>
        <v>0</v>
      </c>
      <c r="F14" s="225">
        <f>F15+F18</f>
        <v>45379.774964507531</v>
      </c>
      <c r="G14" s="225">
        <f>SUM(G15:G19)</f>
        <v>450</v>
      </c>
      <c r="H14" s="226">
        <f>SUM(D14:G14)</f>
        <v>45829.774964507531</v>
      </c>
      <c r="P14" s="138"/>
      <c r="Q14" s="138"/>
      <c r="R14" s="138"/>
      <c r="S14" s="138"/>
      <c r="T14" s="138"/>
    </row>
    <row r="15" spans="1:20" ht="32.25" customHeight="1" x14ac:dyDescent="0.3">
      <c r="A15" s="212" t="s">
        <v>24</v>
      </c>
      <c r="B15" s="227" t="s">
        <v>25</v>
      </c>
      <c r="C15" s="215">
        <f>F15</f>
        <v>45379.774964507531</v>
      </c>
      <c r="D15" s="214">
        <f>D16+D17</f>
        <v>0</v>
      </c>
      <c r="E15" s="215">
        <f>SUM(E7,E16)</f>
        <v>0</v>
      </c>
      <c r="F15" s="215">
        <f>F16+F17</f>
        <v>45379.774964507531</v>
      </c>
      <c r="G15" s="215">
        <f>SUM(G7,G16)</f>
        <v>0</v>
      </c>
      <c r="H15" s="228">
        <f>SUM(D15:G15)</f>
        <v>45379.774964507531</v>
      </c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</row>
    <row r="16" spans="1:20" ht="32.25" customHeight="1" x14ac:dyDescent="0.3">
      <c r="A16" s="212" t="s">
        <v>275</v>
      </c>
      <c r="B16" s="227" t="s">
        <v>31</v>
      </c>
      <c r="C16" s="219"/>
      <c r="D16" s="214">
        <f>C31</f>
        <v>0</v>
      </c>
      <c r="E16" s="214">
        <f>F31</f>
        <v>0</v>
      </c>
      <c r="F16" s="214">
        <f>G31</f>
        <v>44858.297258873128</v>
      </c>
      <c r="G16" s="215">
        <f>G6-G12</f>
        <v>0</v>
      </c>
      <c r="H16" s="228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</row>
    <row r="17" spans="1:20" ht="32.25" customHeight="1" x14ac:dyDescent="0.3">
      <c r="A17" s="212" t="s">
        <v>276</v>
      </c>
      <c r="B17" s="227" t="s">
        <v>32</v>
      </c>
      <c r="C17" s="219"/>
      <c r="D17" s="214">
        <f>C32</f>
        <v>0</v>
      </c>
      <c r="E17" s="214">
        <f>F32</f>
        <v>0</v>
      </c>
      <c r="F17" s="214">
        <f>G32</f>
        <v>521.47770563440008</v>
      </c>
      <c r="G17" s="215">
        <f>G15-G16</f>
        <v>0</v>
      </c>
      <c r="H17" s="226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</row>
    <row r="18" spans="1:20" ht="32.25" customHeight="1" x14ac:dyDescent="0.3">
      <c r="A18" s="212" t="s">
        <v>26</v>
      </c>
      <c r="B18" s="227" t="s">
        <v>27</v>
      </c>
      <c r="C18" s="229">
        <f>C8*100%</f>
        <v>450</v>
      </c>
      <c r="D18" s="214"/>
      <c r="E18" s="215"/>
      <c r="F18" s="215"/>
      <c r="G18" s="215">
        <f>C18</f>
        <v>450</v>
      </c>
      <c r="H18" s="228">
        <f>SUM(D18:G18)</f>
        <v>450</v>
      </c>
      <c r="I18" s="140"/>
      <c r="L18" s="140"/>
      <c r="O18" s="140"/>
      <c r="R18" s="140"/>
    </row>
    <row r="19" spans="1:20" ht="32.25" customHeight="1" x14ac:dyDescent="0.3">
      <c r="A19" s="212" t="s">
        <v>28</v>
      </c>
      <c r="B19" s="227" t="s">
        <v>29</v>
      </c>
      <c r="C19" s="219"/>
      <c r="D19" s="201"/>
      <c r="E19" s="202"/>
      <c r="F19" s="202"/>
      <c r="G19" s="215"/>
      <c r="H19" s="226">
        <f>SUM(D19:G19)</f>
        <v>0</v>
      </c>
    </row>
    <row r="20" spans="1:20" s="136" customFormat="1" ht="32.25" customHeight="1" x14ac:dyDescent="0.3">
      <c r="A20" s="222">
        <v>2.2999999999999998</v>
      </c>
      <c r="B20" s="223" t="s">
        <v>30</v>
      </c>
      <c r="C20" s="208"/>
      <c r="D20" s="201"/>
      <c r="E20" s="202"/>
      <c r="F20" s="225"/>
      <c r="G20" s="215">
        <f>G7</f>
        <v>0</v>
      </c>
      <c r="H20" s="226">
        <f>SUM(D20:G20)</f>
        <v>0</v>
      </c>
    </row>
    <row r="22" spans="1:20" x14ac:dyDescent="0.3">
      <c r="A22" s="81" t="s">
        <v>277</v>
      </c>
    </row>
    <row r="23" spans="1:20" x14ac:dyDescent="0.3">
      <c r="A23" s="234" t="s">
        <v>236</v>
      </c>
      <c r="B23" s="203"/>
      <c r="C23" s="234">
        <v>1</v>
      </c>
      <c r="D23" s="138"/>
      <c r="F23" s="234">
        <v>2</v>
      </c>
      <c r="G23" s="235">
        <v>3</v>
      </c>
      <c r="H23" s="203"/>
      <c r="I23" s="236"/>
      <c r="J23" s="236"/>
      <c r="K23" s="236"/>
      <c r="L23" s="236"/>
    </row>
    <row r="24" spans="1:20" x14ac:dyDescent="0.3">
      <c r="A24" s="237" t="s">
        <v>268</v>
      </c>
      <c r="B24" s="238">
        <f>J32</f>
        <v>57287.218705634397</v>
      </c>
      <c r="C24" s="234"/>
      <c r="D24" s="138"/>
      <c r="F24" s="235"/>
      <c r="G24" s="234"/>
      <c r="H24" s="236"/>
      <c r="I24" s="236"/>
      <c r="J24" s="236"/>
      <c r="K24" s="236"/>
      <c r="L24" s="236"/>
    </row>
    <row r="25" spans="1:20" x14ac:dyDescent="0.3">
      <c r="A25" s="237" t="s">
        <v>266</v>
      </c>
      <c r="B25" s="239">
        <f>J31</f>
        <v>56837.218705634397</v>
      </c>
      <c r="C25" s="239"/>
      <c r="D25" s="138"/>
      <c r="F25" s="236"/>
      <c r="G25" s="240"/>
      <c r="H25" s="236"/>
      <c r="I25" s="236"/>
      <c r="J25" s="236"/>
      <c r="K25" s="236"/>
      <c r="L25" s="236"/>
    </row>
    <row r="26" spans="1:20" x14ac:dyDescent="0.3">
      <c r="A26" s="240" t="s">
        <v>234</v>
      </c>
      <c r="B26" s="241">
        <f>参数表!C15</f>
        <v>56315.741000000009</v>
      </c>
      <c r="C26" s="239"/>
      <c r="D26" s="138"/>
      <c r="F26" s="236"/>
      <c r="G26" s="240"/>
      <c r="H26" s="236"/>
      <c r="I26" s="242" t="s">
        <v>237</v>
      </c>
      <c r="J26" s="243">
        <f>参数表!C31*(参数表!C35/12)</f>
        <v>2.325E-2</v>
      </c>
      <c r="K26" s="236"/>
      <c r="L26" s="236"/>
    </row>
    <row r="27" spans="1:20" x14ac:dyDescent="0.3">
      <c r="A27" s="240" t="s">
        <v>238</v>
      </c>
      <c r="B27" s="239">
        <f>B24*J27</f>
        <v>11457.443741126881</v>
      </c>
      <c r="C27" s="239"/>
      <c r="D27" s="138"/>
      <c r="F27" s="236"/>
      <c r="G27" s="240"/>
      <c r="H27" s="236"/>
      <c r="I27" s="242" t="s">
        <v>239</v>
      </c>
      <c r="J27" s="244">
        <f>参数表!C30</f>
        <v>0.2</v>
      </c>
      <c r="K27" s="236"/>
      <c r="L27" s="236"/>
    </row>
    <row r="28" spans="1:20" x14ac:dyDescent="0.3">
      <c r="A28" s="240" t="s">
        <v>240</v>
      </c>
      <c r="B28" s="239">
        <f>B26-B27</f>
        <v>44858.297258873128</v>
      </c>
      <c r="C28" s="239"/>
      <c r="D28" s="138"/>
      <c r="F28" s="236"/>
      <c r="G28" s="240"/>
      <c r="H28" s="236"/>
      <c r="I28" s="242" t="s">
        <v>235</v>
      </c>
      <c r="J28" s="244">
        <v>0</v>
      </c>
      <c r="K28" s="244">
        <v>0</v>
      </c>
      <c r="L28" s="244">
        <v>1</v>
      </c>
    </row>
    <row r="29" spans="1:20" x14ac:dyDescent="0.3">
      <c r="A29" s="240" t="s">
        <v>241</v>
      </c>
      <c r="B29" s="245">
        <f>C29+F29+G29</f>
        <v>56315.741000000009</v>
      </c>
      <c r="C29" s="239">
        <f>$B$26*J28</f>
        <v>0</v>
      </c>
      <c r="D29" s="138"/>
      <c r="F29" s="239">
        <f>$B$26*K28</f>
        <v>0</v>
      </c>
      <c r="G29" s="239">
        <f>$B$26*L28</f>
        <v>56315.741000000009</v>
      </c>
      <c r="H29" s="236"/>
      <c r="I29" s="246" t="s">
        <v>263</v>
      </c>
      <c r="J29" s="247">
        <f>C8</f>
        <v>450</v>
      </c>
      <c r="K29" s="244"/>
      <c r="L29" s="236"/>
    </row>
    <row r="30" spans="1:20" x14ac:dyDescent="0.3">
      <c r="A30" s="240" t="s">
        <v>242</v>
      </c>
      <c r="B30" s="245">
        <f>C30+F30+G30</f>
        <v>11457.443741126881</v>
      </c>
      <c r="C30" s="239">
        <f>$B$27*J28</f>
        <v>0</v>
      </c>
      <c r="D30" s="138"/>
      <c r="F30" s="239">
        <f>$B$27*K28</f>
        <v>0</v>
      </c>
      <c r="G30" s="239">
        <f>$B$27*L28</f>
        <v>11457.443741126881</v>
      </c>
      <c r="H30" s="236"/>
      <c r="I30" s="246" t="s">
        <v>264</v>
      </c>
      <c r="J30" s="247">
        <f>B26</f>
        <v>56315.741000000009</v>
      </c>
      <c r="K30" s="244"/>
      <c r="L30" s="236"/>
    </row>
    <row r="31" spans="1:20" x14ac:dyDescent="0.3">
      <c r="A31" s="240" t="s">
        <v>243</v>
      </c>
      <c r="B31" s="245">
        <f>C31+F31+G31</f>
        <v>44858.297258873128</v>
      </c>
      <c r="C31" s="239">
        <f>C29-C30</f>
        <v>0</v>
      </c>
      <c r="D31" s="138"/>
      <c r="F31" s="239">
        <f>F29-F30</f>
        <v>0</v>
      </c>
      <c r="G31" s="239">
        <f>G29-G30</f>
        <v>44858.297258873128</v>
      </c>
      <c r="H31" s="236"/>
      <c r="I31" s="246" t="s">
        <v>265</v>
      </c>
      <c r="J31" s="248">
        <f>(j*(2+i)*(aa*(1+i)^2+ab*(1+i)+ac)+2*cc)/(b*(2+i)*(aa*(1+i)^2+ab*(1+i)+ac)+2*(1-b))-cc</f>
        <v>56837.218705634397</v>
      </c>
      <c r="K31" s="236"/>
      <c r="L31" s="248"/>
    </row>
    <row r="32" spans="1:20" x14ac:dyDescent="0.3">
      <c r="A32" s="240" t="s">
        <v>244</v>
      </c>
      <c r="B32" s="245">
        <f>C32+F32+G32</f>
        <v>521.47770563440008</v>
      </c>
      <c r="C32" s="239">
        <f>C31/2*J26</f>
        <v>0</v>
      </c>
      <c r="D32" s="138"/>
      <c r="F32" s="239">
        <f>(F31/2+C32+C31)*J26</f>
        <v>0</v>
      </c>
      <c r="G32" s="239">
        <f>(G31/2+SUM(C31:F32))*J26</f>
        <v>521.47770563440008</v>
      </c>
      <c r="H32" s="236"/>
      <c r="I32" s="246" t="s">
        <v>267</v>
      </c>
      <c r="J32" s="248">
        <f>J31+cc</f>
        <v>57287.218705634397</v>
      </c>
      <c r="K32" s="236"/>
      <c r="L32" s="236"/>
    </row>
    <row r="33" spans="2:11" x14ac:dyDescent="0.3">
      <c r="B33" s="164"/>
      <c r="C33" s="164"/>
      <c r="D33" s="164"/>
      <c r="E33" s="164"/>
      <c r="F33" s="164"/>
      <c r="G33" s="167"/>
      <c r="H33" s="165"/>
      <c r="I33" s="166"/>
      <c r="J33" s="166"/>
      <c r="K33" s="164"/>
    </row>
    <row r="37" spans="2:11" x14ac:dyDescent="0.3">
      <c r="D37" s="138"/>
      <c r="H37" s="138"/>
      <c r="I37" s="165"/>
      <c r="J37" s="164"/>
      <c r="K37" s="164"/>
    </row>
    <row r="40" spans="2:11" x14ac:dyDescent="0.3">
      <c r="D40" s="138"/>
      <c r="H40" s="138"/>
      <c r="I40" s="164"/>
      <c r="J40" s="164"/>
      <c r="K40" s="164"/>
    </row>
  </sheetData>
  <mergeCells count="1">
    <mergeCell ref="A1:H1"/>
  </mergeCells>
  <phoneticPr fontId="6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9AAA-4E57-4379-802D-1CE8F5C9096B}">
  <dimension ref="A1:AG81"/>
  <sheetViews>
    <sheetView zoomScaleNormal="100" zoomScaleSheetLayoutView="100" workbookViewId="0">
      <pane xSplit="4" ySplit="4" topLeftCell="F5" activePane="bottomRight" state="frozen"/>
      <selection pane="topRight"/>
      <selection pane="bottomLeft"/>
      <selection pane="bottomRight" activeCell="G43" sqref="G43"/>
    </sheetView>
  </sheetViews>
  <sheetFormatPr defaultColWidth="9" defaultRowHeight="14.15" x14ac:dyDescent="0.3"/>
  <cols>
    <col min="1" max="1" width="3.5703125" style="34" customWidth="1"/>
    <col min="2" max="2" width="5.85546875" style="34" customWidth="1"/>
    <col min="3" max="3" width="25.7109375" style="118" customWidth="1"/>
    <col min="4" max="5" width="6.7109375" style="34" hidden="1" customWidth="1"/>
    <col min="6" max="6" width="6.7109375" style="34" customWidth="1"/>
    <col min="7" max="7" width="16.2109375" style="34" bestFit="1" customWidth="1"/>
    <col min="8" max="8" width="9.5" style="34" customWidth="1"/>
    <col min="9" max="9" width="8.85546875" style="34" customWidth="1"/>
    <col min="10" max="10" width="13" style="34" bestFit="1" customWidth="1"/>
    <col min="11" max="11" width="16.2109375" style="34" customWidth="1"/>
    <col min="12" max="12" width="8.85546875" style="34" customWidth="1"/>
    <col min="13" max="13" width="9.2109375" style="34" bestFit="1" customWidth="1"/>
    <col min="14" max="15" width="8.85546875" style="34" customWidth="1"/>
    <col min="16" max="16" width="9.0703125" style="34" customWidth="1"/>
    <col min="17" max="32" width="8.85546875" style="34" customWidth="1"/>
    <col min="33" max="16384" width="9" style="34"/>
  </cols>
  <sheetData>
    <row r="1" spans="2:32" ht="27" customHeight="1" x14ac:dyDescent="0.3">
      <c r="B1" s="528" t="s">
        <v>33</v>
      </c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  <c r="AC1" s="529"/>
      <c r="AD1" s="529"/>
      <c r="AE1" s="529"/>
      <c r="AF1" s="529"/>
    </row>
    <row r="2" spans="2:32" ht="14.6" thickBot="1" x14ac:dyDescent="0.35"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</row>
    <row r="3" spans="2:32" ht="17.149999999999999" customHeight="1" x14ac:dyDescent="0.3">
      <c r="B3" s="532" t="s">
        <v>0</v>
      </c>
      <c r="C3" s="534" t="s">
        <v>7</v>
      </c>
      <c r="D3" s="40"/>
      <c r="E3" s="40"/>
      <c r="F3" s="40"/>
      <c r="G3" s="530" t="s">
        <v>34</v>
      </c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1"/>
      <c r="AB3" s="531"/>
      <c r="AC3" s="531"/>
      <c r="AD3" s="531"/>
      <c r="AE3" s="531"/>
      <c r="AF3" s="536" t="s">
        <v>11</v>
      </c>
    </row>
    <row r="4" spans="2:32" ht="17.149999999999999" customHeight="1" x14ac:dyDescent="0.3">
      <c r="B4" s="533"/>
      <c r="C4" s="535"/>
      <c r="D4" s="5" t="e">
        <f>成本!#REF!</f>
        <v>#REF!</v>
      </c>
      <c r="E4" s="5" t="e">
        <f>成本!#REF!</f>
        <v>#REF!</v>
      </c>
      <c r="F4" s="5">
        <f>参数表!C4</f>
        <v>2020</v>
      </c>
      <c r="G4" s="5">
        <f>参数表!D4</f>
        <v>2021</v>
      </c>
      <c r="H4" s="5">
        <f>参数表!E4</f>
        <v>2022</v>
      </c>
      <c r="I4" s="5">
        <f>参数表!F4</f>
        <v>2023</v>
      </c>
      <c r="J4" s="5">
        <f>参数表!G4</f>
        <v>2024</v>
      </c>
      <c r="K4" s="5">
        <f>参数表!H4</f>
        <v>2025</v>
      </c>
      <c r="L4" s="5">
        <f>参数表!I4</f>
        <v>2026</v>
      </c>
      <c r="M4" s="5">
        <f>参数表!J4</f>
        <v>2027</v>
      </c>
      <c r="N4" s="5">
        <f>参数表!K4</f>
        <v>2028</v>
      </c>
      <c r="O4" s="5">
        <f>参数表!L4</f>
        <v>2029</v>
      </c>
      <c r="P4" s="5">
        <f>参数表!M4</f>
        <v>2030</v>
      </c>
      <c r="Q4" s="5">
        <f>参数表!N4</f>
        <v>2031</v>
      </c>
      <c r="R4" s="5">
        <f>参数表!O4</f>
        <v>2032</v>
      </c>
      <c r="S4" s="5">
        <f>参数表!P4</f>
        <v>2033</v>
      </c>
      <c r="T4" s="5">
        <f>参数表!Q4</f>
        <v>2034</v>
      </c>
      <c r="U4" s="5">
        <f>参数表!R4</f>
        <v>2035</v>
      </c>
      <c r="V4" s="5">
        <f>参数表!S4</f>
        <v>2036</v>
      </c>
      <c r="W4" s="5">
        <f>参数表!T4</f>
        <v>2037</v>
      </c>
      <c r="X4" s="5">
        <f>参数表!U4</f>
        <v>2038</v>
      </c>
      <c r="Y4" s="5">
        <f>参数表!V4</f>
        <v>2039</v>
      </c>
      <c r="Z4" s="5">
        <f>参数表!W4</f>
        <v>2040</v>
      </c>
      <c r="AA4" s="5">
        <f>参数表!X4</f>
        <v>2041</v>
      </c>
      <c r="AB4" s="5">
        <f>参数表!Y4</f>
        <v>2042</v>
      </c>
      <c r="AC4" s="5">
        <f>参数表!Z4</f>
        <v>2043</v>
      </c>
      <c r="AD4" s="5">
        <f>参数表!AA4</f>
        <v>2044</v>
      </c>
      <c r="AE4" s="5">
        <f>参数表!AB4</f>
        <v>2045</v>
      </c>
      <c r="AF4" s="537"/>
    </row>
    <row r="5" spans="2:32" ht="17.149999999999999" customHeight="1" x14ac:dyDescent="0.35">
      <c r="B5" s="42"/>
      <c r="C5" s="47" t="s">
        <v>35</v>
      </c>
      <c r="D5" s="84"/>
      <c r="E5" s="84"/>
      <c r="F5" s="84"/>
      <c r="G5" s="74">
        <f>参数表!$C$3*参数表!D5*参数表!D6*参数表!$C$2</f>
        <v>15908.343749999998</v>
      </c>
      <c r="H5" s="74">
        <f>参数表!$C$3*参数表!E5*参数表!E6*参数表!$C$2</f>
        <v>16659.749999999996</v>
      </c>
      <c r="I5" s="74">
        <f>参数表!$C$3*参数表!F5*参数表!F6*参数表!$C$2</f>
        <v>16573.875</v>
      </c>
      <c r="J5" s="74">
        <f>参数表!$C$3*参数表!G5*参数表!G6*参数表!$C$2</f>
        <v>16488</v>
      </c>
      <c r="K5" s="74">
        <f>参数表!$C$3*参数表!H5*参数表!H6*参数表!$C$2</f>
        <v>16402.125</v>
      </c>
      <c r="L5" s="74">
        <f>参数表!$C$3*参数表!I5*参数表!I6*参数表!$C$2</f>
        <v>16316.25</v>
      </c>
      <c r="M5" s="74">
        <f>参数表!$C$3*参数表!J5*参数表!J6*参数表!$C$2</f>
        <v>16230.374999999998</v>
      </c>
      <c r="N5" s="74">
        <f>参数表!$C$3*参数表!K5*参数表!K6*参数表!$C$2</f>
        <v>16144.5</v>
      </c>
      <c r="O5" s="74">
        <f>参数表!$C$3*参数表!L5*参数表!L6*参数表!$C$2</f>
        <v>16058.625</v>
      </c>
      <c r="P5" s="74">
        <f>参数表!$C$3*参数表!M5*参数表!M6*参数表!$C$2</f>
        <v>15972.750000000002</v>
      </c>
      <c r="Q5" s="74">
        <f>参数表!$C$3*参数表!N5*参数表!N6*参数表!$C$2</f>
        <v>15886.875</v>
      </c>
      <c r="R5" s="74">
        <f>参数表!$C$3*参数表!O5*参数表!O6*参数表!$C$2</f>
        <v>15801.000000000002</v>
      </c>
      <c r="S5" s="74">
        <f>参数表!$C$3*参数表!P5*参数表!P6*参数表!$C$2</f>
        <v>15715.125</v>
      </c>
      <c r="T5" s="74">
        <f>参数表!$C$3*参数表!Q5*参数表!Q6*参数表!$C$2</f>
        <v>15629.25</v>
      </c>
      <c r="U5" s="74">
        <f>参数表!$C$3*参数表!R5*参数表!R6*参数表!$C$2</f>
        <v>15543.375000000002</v>
      </c>
      <c r="V5" s="74">
        <f>参数表!$C$3*参数表!S5*参数表!S6*参数表!$C$2</f>
        <v>15457.5</v>
      </c>
      <c r="W5" s="74">
        <f>参数表!$C$3*参数表!T5*参数表!T6*参数表!$C$2</f>
        <v>15371.625000000002</v>
      </c>
      <c r="X5" s="74">
        <f>参数表!$C$3*参数表!U5*参数表!U6*参数表!$C$2</f>
        <v>15285.750000000002</v>
      </c>
      <c r="Y5" s="74">
        <f>参数表!$C$3*参数表!V5*参数表!V6*参数表!$C$2</f>
        <v>15199.875</v>
      </c>
      <c r="Z5" s="74">
        <f>参数表!$C$3*参数表!W5*参数表!W6*参数表!$C$2</f>
        <v>15114</v>
      </c>
      <c r="AA5" s="74">
        <f>参数表!$C$3*参数表!X5*参数表!X6*参数表!$C$2</f>
        <v>15028.125</v>
      </c>
      <c r="AB5" s="74">
        <f>参数表!$C$3*参数表!Y5*参数表!Y6*参数表!$C$2</f>
        <v>14942.25</v>
      </c>
      <c r="AC5" s="74">
        <f>参数表!$C$3*参数表!Z5*参数表!Z6*参数表!$C$2</f>
        <v>14856.375</v>
      </c>
      <c r="AD5" s="74">
        <f>参数表!$C$3*参数表!AA5*参数表!AA6*参数表!$C$2</f>
        <v>14770.499999999998</v>
      </c>
      <c r="AE5" s="74">
        <f>参数表!$C$3*参数表!AB5*参数表!AB6*参数表!$C$2</f>
        <v>14684.625</v>
      </c>
      <c r="AF5" s="134"/>
    </row>
    <row r="6" spans="2:32" ht="17.149999999999999" customHeight="1" x14ac:dyDescent="0.35">
      <c r="B6" s="42"/>
      <c r="C6" s="119" t="s">
        <v>36</v>
      </c>
      <c r="D6" s="84"/>
      <c r="E6" s="84"/>
      <c r="F6" s="84"/>
      <c r="G6" s="120">
        <f>G49</f>
        <v>0.40100000000000002</v>
      </c>
      <c r="H6" s="120">
        <f t="shared" ref="H6:AE6" si="0">H49</f>
        <v>0.40089452122630892</v>
      </c>
      <c r="I6" s="120">
        <f t="shared" si="0"/>
        <v>0.40095096952281833</v>
      </c>
      <c r="J6" s="120">
        <f t="shared" si="0"/>
        <v>0.40100000000000002</v>
      </c>
      <c r="K6" s="120">
        <f t="shared" si="0"/>
        <v>0.40100000000000002</v>
      </c>
      <c r="L6" s="120">
        <f t="shared" si="0"/>
        <v>0.40100000000000002</v>
      </c>
      <c r="M6" s="120">
        <f t="shared" si="0"/>
        <v>0.40100000000000002</v>
      </c>
      <c r="N6" s="120">
        <f t="shared" si="0"/>
        <v>0.40100000000000002</v>
      </c>
      <c r="O6" s="120">
        <f t="shared" si="0"/>
        <v>0.40100000000000002</v>
      </c>
      <c r="P6" s="120">
        <f t="shared" si="0"/>
        <v>0.40100000000000002</v>
      </c>
      <c r="Q6" s="120">
        <f t="shared" si="0"/>
        <v>0.40100000000000002</v>
      </c>
      <c r="R6" s="120">
        <f t="shared" si="0"/>
        <v>0.40100000000000002</v>
      </c>
      <c r="S6" s="120">
        <f t="shared" si="0"/>
        <v>0.40100000000000002</v>
      </c>
      <c r="T6" s="120">
        <f t="shared" si="0"/>
        <v>0.40100000000000002</v>
      </c>
      <c r="U6" s="120">
        <f t="shared" si="0"/>
        <v>0.40100000000000002</v>
      </c>
      <c r="V6" s="120">
        <f t="shared" si="0"/>
        <v>0.40100000000000002</v>
      </c>
      <c r="W6" s="120">
        <f t="shared" si="0"/>
        <v>0.40100000000000002</v>
      </c>
      <c r="X6" s="120">
        <f t="shared" si="0"/>
        <v>0.40100000000000002</v>
      </c>
      <c r="Y6" s="120">
        <f t="shared" si="0"/>
        <v>0.40100000000000002</v>
      </c>
      <c r="Z6" s="120">
        <f t="shared" si="0"/>
        <v>0.40100000000000002</v>
      </c>
      <c r="AA6" s="120">
        <f t="shared" si="0"/>
        <v>0.40100000000000002</v>
      </c>
      <c r="AB6" s="120">
        <f t="shared" si="0"/>
        <v>0.40100000000000002</v>
      </c>
      <c r="AC6" s="120">
        <f t="shared" si="0"/>
        <v>0.40100000000000002</v>
      </c>
      <c r="AD6" s="120">
        <f t="shared" si="0"/>
        <v>0.40100000000000002</v>
      </c>
      <c r="AE6" s="120">
        <f t="shared" si="0"/>
        <v>0.40100000000000002</v>
      </c>
      <c r="AF6" s="135"/>
    </row>
    <row r="7" spans="2:32" ht="17.25" customHeight="1" x14ac:dyDescent="0.35">
      <c r="B7" s="42"/>
      <c r="C7" s="119" t="s">
        <v>37</v>
      </c>
      <c r="D7" s="84"/>
      <c r="E7" s="84"/>
      <c r="F7" s="84"/>
      <c r="G7" s="120">
        <f>G6/(1+增值税率)</f>
        <v>0.35486725663716817</v>
      </c>
      <c r="H7" s="120">
        <f>H6/(1+增值税率)</f>
        <v>0.35477391258965396</v>
      </c>
      <c r="I7" s="120">
        <f>H7</f>
        <v>0.35477391258965396</v>
      </c>
      <c r="J7" s="120">
        <f t="shared" ref="J7:S7" si="1">I7</f>
        <v>0.35477391258965396</v>
      </c>
      <c r="K7" s="120">
        <f t="shared" si="1"/>
        <v>0.35477391258965396</v>
      </c>
      <c r="L7" s="120">
        <f t="shared" si="1"/>
        <v>0.35477391258965396</v>
      </c>
      <c r="M7" s="120">
        <f t="shared" si="1"/>
        <v>0.35477391258965396</v>
      </c>
      <c r="N7" s="120">
        <f t="shared" si="1"/>
        <v>0.35477391258965396</v>
      </c>
      <c r="O7" s="120">
        <f t="shared" si="1"/>
        <v>0.35477391258965396</v>
      </c>
      <c r="P7" s="120">
        <f t="shared" si="1"/>
        <v>0.35477391258965396</v>
      </c>
      <c r="Q7" s="120">
        <f t="shared" si="1"/>
        <v>0.35477391258965396</v>
      </c>
      <c r="R7" s="120">
        <f t="shared" si="1"/>
        <v>0.35477391258965396</v>
      </c>
      <c r="S7" s="120">
        <f t="shared" si="1"/>
        <v>0.35477391258965396</v>
      </c>
      <c r="T7" s="120">
        <f t="shared" ref="T7:AE7" si="2">S7</f>
        <v>0.35477391258965396</v>
      </c>
      <c r="U7" s="120">
        <f t="shared" si="2"/>
        <v>0.35477391258965396</v>
      </c>
      <c r="V7" s="120">
        <f t="shared" si="2"/>
        <v>0.35477391258965396</v>
      </c>
      <c r="W7" s="120">
        <f t="shared" si="2"/>
        <v>0.35477391258965396</v>
      </c>
      <c r="X7" s="120">
        <f t="shared" si="2"/>
        <v>0.35477391258965396</v>
      </c>
      <c r="Y7" s="120">
        <f t="shared" si="2"/>
        <v>0.35477391258965396</v>
      </c>
      <c r="Z7" s="120">
        <f t="shared" si="2"/>
        <v>0.35477391258965396</v>
      </c>
      <c r="AA7" s="120">
        <f t="shared" si="2"/>
        <v>0.35477391258965396</v>
      </c>
      <c r="AB7" s="120">
        <f t="shared" si="2"/>
        <v>0.35477391258965396</v>
      </c>
      <c r="AC7" s="120">
        <f t="shared" si="2"/>
        <v>0.35477391258965396</v>
      </c>
      <c r="AD7" s="120">
        <f>AC7</f>
        <v>0.35477391258965396</v>
      </c>
      <c r="AE7" s="120">
        <f t="shared" si="2"/>
        <v>0.35477391258965396</v>
      </c>
      <c r="AF7" s="76" t="s">
        <v>38</v>
      </c>
    </row>
    <row r="8" spans="2:32" ht="17.149999999999999" customHeight="1" x14ac:dyDescent="0.35">
      <c r="B8" s="42">
        <v>1</v>
      </c>
      <c r="C8" s="142" t="s">
        <v>39</v>
      </c>
      <c r="D8" s="84"/>
      <c r="E8" s="84"/>
      <c r="F8" s="84"/>
      <c r="G8" s="49">
        <f>G5*G7</f>
        <v>5645.35030420354</v>
      </c>
      <c r="H8" s="49">
        <f t="shared" ref="H8:Y8" si="3">H5*H7</f>
        <v>5910.4446902654863</v>
      </c>
      <c r="I8" s="49">
        <f t="shared" si="3"/>
        <v>5879.9784805218515</v>
      </c>
      <c r="J8" s="49">
        <f t="shared" si="3"/>
        <v>5849.5122707782148</v>
      </c>
      <c r="K8" s="49">
        <f t="shared" si="3"/>
        <v>5819.0460610345781</v>
      </c>
      <c r="L8" s="49">
        <f t="shared" si="3"/>
        <v>5788.5798512909414</v>
      </c>
      <c r="M8" s="49">
        <f t="shared" si="3"/>
        <v>5758.1136415473038</v>
      </c>
      <c r="N8" s="49">
        <f t="shared" si="3"/>
        <v>5727.647431803668</v>
      </c>
      <c r="O8" s="49">
        <f t="shared" si="3"/>
        <v>5697.1812220600323</v>
      </c>
      <c r="P8" s="49">
        <f t="shared" si="3"/>
        <v>5666.7150123163956</v>
      </c>
      <c r="Q8" s="49">
        <f t="shared" si="3"/>
        <v>5636.2488025727589</v>
      </c>
      <c r="R8" s="49">
        <f t="shared" si="3"/>
        <v>5605.7825928291231</v>
      </c>
      <c r="S8" s="49">
        <f t="shared" si="3"/>
        <v>5575.3163830854855</v>
      </c>
      <c r="T8" s="49">
        <f t="shared" si="3"/>
        <v>5544.8501733418489</v>
      </c>
      <c r="U8" s="49">
        <f t="shared" si="3"/>
        <v>5514.3839635982131</v>
      </c>
      <c r="V8" s="49">
        <f t="shared" si="3"/>
        <v>5483.9177538545764</v>
      </c>
      <c r="W8" s="49">
        <f t="shared" si="3"/>
        <v>5453.4515441109406</v>
      </c>
      <c r="X8" s="49">
        <f t="shared" si="3"/>
        <v>5422.9853343673039</v>
      </c>
      <c r="Y8" s="49">
        <f t="shared" si="3"/>
        <v>5392.5191246236664</v>
      </c>
      <c r="Z8" s="49">
        <f t="shared" ref="Z8:AE8" si="4">Z5*Z7</f>
        <v>5362.0529148800297</v>
      </c>
      <c r="AA8" s="49">
        <f t="shared" si="4"/>
        <v>5331.586705136393</v>
      </c>
      <c r="AB8" s="49">
        <f t="shared" si="4"/>
        <v>5301.1204953927572</v>
      </c>
      <c r="AC8" s="49">
        <f t="shared" si="4"/>
        <v>5270.6542856491205</v>
      </c>
      <c r="AD8" s="49">
        <f t="shared" si="4"/>
        <v>5240.1880759054829</v>
      </c>
      <c r="AE8" s="49">
        <f t="shared" si="4"/>
        <v>5209.7218661618472</v>
      </c>
      <c r="AF8" s="75">
        <f t="shared" ref="AF8:AF15" si="5">SUM(D8:AE8)</f>
        <v>139087.34898133154</v>
      </c>
    </row>
    <row r="9" spans="2:32" ht="17.149999999999999" customHeight="1" x14ac:dyDescent="0.35">
      <c r="B9" s="42">
        <v>2</v>
      </c>
      <c r="C9" s="47" t="s">
        <v>40</v>
      </c>
      <c r="D9" s="84"/>
      <c r="E9" s="84"/>
      <c r="F9" s="84"/>
      <c r="G9" s="49">
        <f>G10+G11</f>
        <v>0</v>
      </c>
      <c r="H9" s="49">
        <f>H10+H11</f>
        <v>0</v>
      </c>
      <c r="I9" s="49">
        <f t="shared" ref="I9:AE9" si="6">I10+I11</f>
        <v>0</v>
      </c>
      <c r="J9" s="49">
        <f t="shared" si="6"/>
        <v>0</v>
      </c>
      <c r="K9" s="49">
        <f t="shared" si="6"/>
        <v>0</v>
      </c>
      <c r="L9" s="49">
        <f t="shared" si="6"/>
        <v>0</v>
      </c>
      <c r="M9" s="49">
        <f t="shared" si="6"/>
        <v>0</v>
      </c>
      <c r="N9" s="49">
        <f t="shared" si="6"/>
        <v>55.909831345058187</v>
      </c>
      <c r="O9" s="49">
        <f t="shared" si="6"/>
        <v>74.063355886780428</v>
      </c>
      <c r="P9" s="49">
        <f t="shared" si="6"/>
        <v>73.667295160113142</v>
      </c>
      <c r="Q9" s="49">
        <f t="shared" si="6"/>
        <v>73.271234433445869</v>
      </c>
      <c r="R9" s="49">
        <f t="shared" si="6"/>
        <v>72.875173706778611</v>
      </c>
      <c r="S9" s="49">
        <f t="shared" si="6"/>
        <v>72.47911298011131</v>
      </c>
      <c r="T9" s="49">
        <f t="shared" si="6"/>
        <v>72.083052253444038</v>
      </c>
      <c r="U9" s="49">
        <f t="shared" si="6"/>
        <v>71.686991526776779</v>
      </c>
      <c r="V9" s="49">
        <f t="shared" si="6"/>
        <v>71.290930800109493</v>
      </c>
      <c r="W9" s="49">
        <f t="shared" si="6"/>
        <v>70.894870073442235</v>
      </c>
      <c r="X9" s="49">
        <f t="shared" si="6"/>
        <v>70.498809346774962</v>
      </c>
      <c r="Y9" s="49">
        <f t="shared" si="6"/>
        <v>70.102748620107661</v>
      </c>
      <c r="Z9" s="49">
        <f t="shared" si="6"/>
        <v>69.706687893440389</v>
      </c>
      <c r="AA9" s="49">
        <f t="shared" si="6"/>
        <v>69.310627166773116</v>
      </c>
      <c r="AB9" s="49">
        <f t="shared" si="6"/>
        <v>68.914566440105844</v>
      </c>
      <c r="AC9" s="49">
        <f t="shared" si="6"/>
        <v>68.518505713438572</v>
      </c>
      <c r="AD9" s="49">
        <f t="shared" si="6"/>
        <v>68.122444986771285</v>
      </c>
      <c r="AE9" s="49">
        <f t="shared" si="6"/>
        <v>67.726384260104027</v>
      </c>
      <c r="AF9" s="75">
        <f t="shared" si="5"/>
        <v>1261.1226225935759</v>
      </c>
    </row>
    <row r="10" spans="2:32" ht="17.149999999999999" customHeight="1" x14ac:dyDescent="0.35">
      <c r="B10" s="143" t="s">
        <v>41</v>
      </c>
      <c r="C10" s="47" t="s">
        <v>273</v>
      </c>
      <c r="D10" s="84"/>
      <c r="E10" s="84"/>
      <c r="F10" s="84"/>
      <c r="G10" s="49">
        <f>G40*参数表!$C$38</f>
        <v>0</v>
      </c>
      <c r="H10" s="49">
        <f>H40*参数表!$C$38</f>
        <v>0</v>
      </c>
      <c r="I10" s="49">
        <f>I40*参数表!$C$38</f>
        <v>0</v>
      </c>
      <c r="J10" s="49">
        <f>J40*参数表!$C$38</f>
        <v>0</v>
      </c>
      <c r="K10" s="49">
        <f>K40*参数表!$C$38</f>
        <v>0</v>
      </c>
      <c r="L10" s="49">
        <f>L40*参数表!$C$38</f>
        <v>0</v>
      </c>
      <c r="M10" s="49">
        <f>M40*参数表!$C$38</f>
        <v>0</v>
      </c>
      <c r="N10" s="49">
        <f>N40*参数表!$C$38</f>
        <v>27.954915672529093</v>
      </c>
      <c r="O10" s="49">
        <f>O40*参数表!$C$38</f>
        <v>37.031677943390214</v>
      </c>
      <c r="P10" s="49">
        <f>P40*参数表!$C$38</f>
        <v>36.833647580056571</v>
      </c>
      <c r="Q10" s="49">
        <f>Q40*参数表!$C$38</f>
        <v>36.635617216722935</v>
      </c>
      <c r="R10" s="49">
        <f>R40*参数表!$C$38</f>
        <v>36.437586853389305</v>
      </c>
      <c r="S10" s="49">
        <f>S40*参数表!$C$38</f>
        <v>36.239556490055655</v>
      </c>
      <c r="T10" s="49">
        <f>T40*参数表!$C$38</f>
        <v>36.041526126722019</v>
      </c>
      <c r="U10" s="49">
        <f>U40*参数表!$C$38</f>
        <v>35.84349576338839</v>
      </c>
      <c r="V10" s="49">
        <f>V40*参数表!$C$38</f>
        <v>35.645465400054746</v>
      </c>
      <c r="W10" s="49">
        <f>W40*参数表!$C$38</f>
        <v>35.447435036721117</v>
      </c>
      <c r="X10" s="49">
        <f>X40*参数表!$C$38</f>
        <v>35.249404673387481</v>
      </c>
      <c r="Y10" s="49">
        <f>Y40*参数表!$C$38</f>
        <v>35.051374310053831</v>
      </c>
      <c r="Z10" s="49">
        <f>Z40*参数表!$C$38</f>
        <v>34.853343946720194</v>
      </c>
      <c r="AA10" s="49">
        <f>AA40*参数表!$C$38</f>
        <v>34.655313583386558</v>
      </c>
      <c r="AB10" s="49">
        <f>AB40*参数表!$C$38</f>
        <v>34.457283220052922</v>
      </c>
      <c r="AC10" s="49">
        <f>AC40*参数表!$C$38</f>
        <v>34.259252856719286</v>
      </c>
      <c r="AD10" s="49">
        <f>AD40*参数表!$C$38</f>
        <v>34.061222493385642</v>
      </c>
      <c r="AE10" s="49">
        <f>AE40*参数表!$C$38</f>
        <v>33.863192130052013</v>
      </c>
      <c r="AF10" s="75">
        <f t="shared" si="5"/>
        <v>630.56131129678795</v>
      </c>
    </row>
    <row r="11" spans="2:32" ht="17.149999999999999" customHeight="1" x14ac:dyDescent="0.35">
      <c r="B11" s="143" t="s">
        <v>42</v>
      </c>
      <c r="C11" s="47" t="s">
        <v>272</v>
      </c>
      <c r="D11" s="84"/>
      <c r="E11" s="84"/>
      <c r="F11" s="84"/>
      <c r="G11" s="49">
        <f>G40*参数表!$C$39</f>
        <v>0</v>
      </c>
      <c r="H11" s="49">
        <f>H40*参数表!$C$39</f>
        <v>0</v>
      </c>
      <c r="I11" s="49">
        <f>I40*参数表!$C$39</f>
        <v>0</v>
      </c>
      <c r="J11" s="49">
        <f>J40*参数表!$C$39</f>
        <v>0</v>
      </c>
      <c r="K11" s="49">
        <f>K40*参数表!$C$39</f>
        <v>0</v>
      </c>
      <c r="L11" s="49">
        <f>L40*参数表!$C$39</f>
        <v>0</v>
      </c>
      <c r="M11" s="49">
        <f>M40*参数表!$C$39</f>
        <v>0</v>
      </c>
      <c r="N11" s="49">
        <f>N40*参数表!$C$39</f>
        <v>27.954915672529093</v>
      </c>
      <c r="O11" s="49">
        <f>O40*参数表!$C$39</f>
        <v>37.031677943390214</v>
      </c>
      <c r="P11" s="49">
        <f>P40*参数表!$C$39</f>
        <v>36.833647580056571</v>
      </c>
      <c r="Q11" s="49">
        <f>Q40*参数表!$C$39</f>
        <v>36.635617216722935</v>
      </c>
      <c r="R11" s="49">
        <f>R40*参数表!$C$39</f>
        <v>36.437586853389305</v>
      </c>
      <c r="S11" s="49">
        <f>S40*参数表!$C$39</f>
        <v>36.239556490055655</v>
      </c>
      <c r="T11" s="49">
        <f>T40*参数表!$C$39</f>
        <v>36.041526126722019</v>
      </c>
      <c r="U11" s="49">
        <f>U40*参数表!$C$39</f>
        <v>35.84349576338839</v>
      </c>
      <c r="V11" s="49">
        <f>V40*参数表!$C$39</f>
        <v>35.645465400054746</v>
      </c>
      <c r="W11" s="49">
        <f>W40*参数表!$C$39</f>
        <v>35.447435036721117</v>
      </c>
      <c r="X11" s="49">
        <f>X40*参数表!$C$39</f>
        <v>35.249404673387481</v>
      </c>
      <c r="Y11" s="49">
        <f>Y40*参数表!$C$39</f>
        <v>35.051374310053831</v>
      </c>
      <c r="Z11" s="49">
        <f>Z40*参数表!$C$39</f>
        <v>34.853343946720194</v>
      </c>
      <c r="AA11" s="49">
        <f>AA40*参数表!$C$39</f>
        <v>34.655313583386558</v>
      </c>
      <c r="AB11" s="49">
        <f>AB40*参数表!$C$39</f>
        <v>34.457283220052922</v>
      </c>
      <c r="AC11" s="49">
        <f>AC40*参数表!$C$39</f>
        <v>34.259252856719286</v>
      </c>
      <c r="AD11" s="49">
        <f>AD40*参数表!$C$39</f>
        <v>34.061222493385642</v>
      </c>
      <c r="AE11" s="49">
        <f>AE40*参数表!$C$39</f>
        <v>33.863192130052013</v>
      </c>
      <c r="AF11" s="75">
        <f t="shared" si="5"/>
        <v>630.56131129678795</v>
      </c>
    </row>
    <row r="12" spans="2:32" ht="17.149999999999999" customHeight="1" x14ac:dyDescent="0.35">
      <c r="B12" s="42">
        <v>4</v>
      </c>
      <c r="C12" s="119" t="s">
        <v>271</v>
      </c>
      <c r="D12" s="84"/>
      <c r="E12" s="84"/>
      <c r="F12" s="84"/>
      <c r="G12" s="49">
        <f>IF(G4&gt;参数表!$C$37,0,损益!G41)</f>
        <v>0</v>
      </c>
      <c r="H12" s="49">
        <f>IF(H4&gt;参数表!$C$37,0,损益!H41)</f>
        <v>0</v>
      </c>
      <c r="I12" s="49">
        <f>IF(I4&gt;参数表!$C$37,0,损益!I41)</f>
        <v>0</v>
      </c>
      <c r="J12" s="49">
        <f>IF(J4&gt;参数表!$C$37,0,损益!J41)</f>
        <v>0</v>
      </c>
      <c r="K12" s="49">
        <f>IF(K4&gt;参数表!$C$37,0,损益!K41)</f>
        <v>0</v>
      </c>
      <c r="L12" s="49">
        <f>IF(L4&gt;参数表!$C$37,0,损益!L41)</f>
        <v>0</v>
      </c>
      <c r="M12" s="49">
        <f>IF(M4&gt;参数表!$C$37,0,损益!M41)</f>
        <v>0</v>
      </c>
      <c r="N12" s="49">
        <f>IF(N4&gt;参数表!$C$37,0,损益!N41)</f>
        <v>0</v>
      </c>
      <c r="O12" s="49">
        <f>IF(O4&gt;参数表!$C$37,0,损益!O41)</f>
        <v>0</v>
      </c>
      <c r="P12" s="49">
        <f>IF(P4&gt;参数表!$C$37,0,损益!P41)</f>
        <v>0</v>
      </c>
      <c r="Q12" s="49">
        <f>IF(Q4&gt;参数表!$C$37,0,损益!Q41)</f>
        <v>0</v>
      </c>
      <c r="R12" s="49">
        <f>IF(R4&gt;参数表!$C$37,0,损益!R41)</f>
        <v>0</v>
      </c>
      <c r="S12" s="49">
        <f>IF(S4&gt;参数表!$C$37,0,损益!S41)</f>
        <v>0</v>
      </c>
      <c r="T12" s="49">
        <f>IF(T4&gt;参数表!$C$37,0,损益!T41)</f>
        <v>0</v>
      </c>
      <c r="U12" s="49">
        <f>IF(U4&gt;参数表!$C$37,0,损益!U41)</f>
        <v>0</v>
      </c>
      <c r="V12" s="49">
        <f>IF(V4&gt;参数表!$C$37,0,损益!V41)</f>
        <v>0</v>
      </c>
      <c r="W12" s="49">
        <f>IF(W4&gt;参数表!$C$37,0,损益!W41)</f>
        <v>0</v>
      </c>
      <c r="X12" s="49">
        <f>IF(X4&gt;参数表!$C$37,0,损益!X41)</f>
        <v>0</v>
      </c>
      <c r="Y12" s="49">
        <f>IF(Y4&gt;参数表!$C$37,0,损益!Y41)</f>
        <v>0</v>
      </c>
      <c r="Z12" s="49">
        <f>IF(Z4&gt;参数表!$C$37,0,损益!Z41)</f>
        <v>0</v>
      </c>
      <c r="AA12" s="49">
        <f>IF(AA4&gt;参数表!$C$37,0,损益!AA41)</f>
        <v>0</v>
      </c>
      <c r="AB12" s="49">
        <f>IF(AB4&gt;参数表!$C$37,0,损益!AB41)</f>
        <v>0</v>
      </c>
      <c r="AC12" s="49">
        <f>IF(AC4&gt;参数表!$C$37,0,损益!AC41)</f>
        <v>0</v>
      </c>
      <c r="AD12" s="49">
        <f>IF(AD4&gt;参数表!$C$37,0,损益!AD41)</f>
        <v>0</v>
      </c>
      <c r="AE12" s="49">
        <f>IF(AE4&gt;参数表!$C$37,0,损益!AE41)</f>
        <v>0</v>
      </c>
      <c r="AF12" s="75">
        <f t="shared" si="5"/>
        <v>0</v>
      </c>
    </row>
    <row r="13" spans="2:32" ht="17.149999999999999" customHeight="1" x14ac:dyDescent="0.35">
      <c r="B13" s="42">
        <v>5</v>
      </c>
      <c r="C13" s="47" t="s">
        <v>43</v>
      </c>
      <c r="D13" s="84"/>
      <c r="E13" s="84"/>
      <c r="F13" s="84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75">
        <f t="shared" si="5"/>
        <v>0</v>
      </c>
    </row>
    <row r="14" spans="2:32" ht="17.149999999999999" customHeight="1" x14ac:dyDescent="0.35">
      <c r="B14" s="42">
        <v>6</v>
      </c>
      <c r="C14" s="47" t="s">
        <v>44</v>
      </c>
      <c r="D14" s="84"/>
      <c r="E14" s="84"/>
      <c r="F14" s="84"/>
      <c r="G14" s="49">
        <f>成本!E21</f>
        <v>5349.9050618379852</v>
      </c>
      <c r="H14" s="49">
        <f>成本!F21</f>
        <v>5369.5499740265077</v>
      </c>
      <c r="I14" s="49">
        <f>成本!G21</f>
        <v>5271.1205733987363</v>
      </c>
      <c r="J14" s="49">
        <f>成本!H21</f>
        <v>5262.066782810738</v>
      </c>
      <c r="K14" s="49">
        <f>成本!I21</f>
        <v>5145.7938818094235</v>
      </c>
      <c r="L14" s="49">
        <f>成本!J21</f>
        <v>5032.4084741150173</v>
      </c>
      <c r="M14" s="49">
        <f>成本!K21</f>
        <v>4905.1861679081667</v>
      </c>
      <c r="N14" s="49">
        <f>成本!L21</f>
        <v>4772.1044064161679</v>
      </c>
      <c r="O14" s="49">
        <f>成本!M21</f>
        <v>4743.6469534087555</v>
      </c>
      <c r="P14" s="49">
        <f>成本!N21</f>
        <v>4598.0162177269913</v>
      </c>
      <c r="Q14" s="49">
        <f>成本!O21</f>
        <v>4445.6700347894966</v>
      </c>
      <c r="R14" s="49">
        <f>成本!P21</f>
        <v>4295.378312177003</v>
      </c>
      <c r="S14" s="49">
        <f>成本!Q21</f>
        <v>4128.6499093600414</v>
      </c>
      <c r="T14" s="49">
        <f>成本!R21</f>
        <v>3954.2250177655606</v>
      </c>
      <c r="U14" s="49">
        <f>成本!S21</f>
        <v>3985.4951095934271</v>
      </c>
      <c r="V14" s="49">
        <f>成本!T21</f>
        <v>3813.2945235478965</v>
      </c>
      <c r="W14" s="49">
        <f>成本!U21</f>
        <v>3793.3744233981924</v>
      </c>
      <c r="X14" s="49">
        <f>成本!V21</f>
        <v>3802.1750071754304</v>
      </c>
      <c r="Y14" s="49">
        <f>成本!W21</f>
        <v>3800.9624920470355</v>
      </c>
      <c r="Z14" s="49">
        <f>成本!X21</f>
        <v>3799.7499769186406</v>
      </c>
      <c r="AA14" s="49">
        <f>成本!Y21</f>
        <v>1385.2334739796943</v>
      </c>
      <c r="AB14" s="49">
        <f>成本!Z21</f>
        <v>1385.2334739796943</v>
      </c>
      <c r="AC14" s="49">
        <f>成本!AA21</f>
        <v>1385.2334739796943</v>
      </c>
      <c r="AD14" s="49">
        <f>成本!AB21</f>
        <v>1396.2729155231543</v>
      </c>
      <c r="AE14" s="49">
        <f>成本!AC21</f>
        <v>1396.2729155231543</v>
      </c>
      <c r="AF14" s="75">
        <f t="shared" si="5"/>
        <v>97217.019553216596</v>
      </c>
    </row>
    <row r="15" spans="2:32" s="184" customFormat="1" ht="17.149999999999999" customHeight="1" x14ac:dyDescent="0.35">
      <c r="B15" s="185">
        <v>7</v>
      </c>
      <c r="C15" s="186" t="s">
        <v>45</v>
      </c>
      <c r="D15" s="187"/>
      <c r="E15" s="187"/>
      <c r="F15" s="187"/>
      <c r="G15" s="264">
        <f t="shared" ref="G15:L15" si="7">G8-G9-G14+G12+G13</f>
        <v>295.4452423655548</v>
      </c>
      <c r="H15" s="264">
        <f t="shared" si="7"/>
        <v>540.89471623897862</v>
      </c>
      <c r="I15" s="264">
        <f t="shared" si="7"/>
        <v>608.85790712311518</v>
      </c>
      <c r="J15" s="264">
        <f t="shared" si="7"/>
        <v>587.44548796747677</v>
      </c>
      <c r="K15" s="264">
        <f t="shared" si="7"/>
        <v>673.25217922515458</v>
      </c>
      <c r="L15" s="264">
        <f t="shared" si="7"/>
        <v>756.17137717592414</v>
      </c>
      <c r="M15" s="264">
        <f t="shared" ref="M15:AE15" si="8">M8-M9-M14+M12+M13</f>
        <v>852.92747363913713</v>
      </c>
      <c r="N15" s="264">
        <f t="shared" si="8"/>
        <v>899.63319404244157</v>
      </c>
      <c r="O15" s="264">
        <f t="shared" si="8"/>
        <v>879.47091276449646</v>
      </c>
      <c r="P15" s="264">
        <f t="shared" si="8"/>
        <v>995.03149942929122</v>
      </c>
      <c r="Q15" s="264">
        <f t="shared" si="8"/>
        <v>1117.3075333498164</v>
      </c>
      <c r="R15" s="264">
        <f t="shared" si="8"/>
        <v>1237.5291069453415</v>
      </c>
      <c r="S15" s="264">
        <f t="shared" si="8"/>
        <v>1374.1873607453326</v>
      </c>
      <c r="T15" s="264">
        <f t="shared" si="8"/>
        <v>1518.542103322844</v>
      </c>
      <c r="U15" s="264">
        <f t="shared" si="8"/>
        <v>1457.2018624780089</v>
      </c>
      <c r="V15" s="264">
        <f t="shared" si="8"/>
        <v>1599.3322995065701</v>
      </c>
      <c r="W15" s="264">
        <f t="shared" si="8"/>
        <v>1589.1822506393055</v>
      </c>
      <c r="X15" s="264">
        <f t="shared" si="8"/>
        <v>1550.3115178450989</v>
      </c>
      <c r="Y15" s="264">
        <f t="shared" si="8"/>
        <v>1521.4538839565234</v>
      </c>
      <c r="Z15" s="264">
        <f t="shared" si="8"/>
        <v>1492.5962500679489</v>
      </c>
      <c r="AA15" s="264">
        <f t="shared" si="8"/>
        <v>3877.0426039899257</v>
      </c>
      <c r="AB15" s="264">
        <f t="shared" si="8"/>
        <v>3846.9724549729572</v>
      </c>
      <c r="AC15" s="264">
        <f t="shared" si="8"/>
        <v>3816.9023059559877</v>
      </c>
      <c r="AD15" s="264">
        <f t="shared" si="8"/>
        <v>3775.792715395557</v>
      </c>
      <c r="AE15" s="264">
        <f t="shared" si="8"/>
        <v>3745.7225663785885</v>
      </c>
      <c r="AF15" s="188">
        <f t="shared" si="5"/>
        <v>40609.206805521368</v>
      </c>
    </row>
    <row r="16" spans="2:32" s="184" customFormat="1" ht="17.149999999999999" customHeight="1" x14ac:dyDescent="0.35">
      <c r="B16" s="185">
        <v>8</v>
      </c>
      <c r="C16" s="186" t="s">
        <v>46</v>
      </c>
      <c r="D16" s="187"/>
      <c r="E16" s="187"/>
      <c r="F16" s="189">
        <v>-1E-3</v>
      </c>
      <c r="G16" s="264">
        <f t="shared" ref="G16:L16" si="9">G15-G25+G24+F16</f>
        <v>295.44424236555483</v>
      </c>
      <c r="H16" s="264">
        <f t="shared" si="9"/>
        <v>836.33895860453345</v>
      </c>
      <c r="I16" s="264">
        <f t="shared" si="9"/>
        <v>1445.1968657276486</v>
      </c>
      <c r="J16" s="264">
        <f t="shared" si="9"/>
        <v>1959.2116676991909</v>
      </c>
      <c r="K16" s="264">
        <f t="shared" si="9"/>
        <v>2548.3073245212013</v>
      </c>
      <c r="L16" s="264">
        <f t="shared" si="9"/>
        <v>3209.9572795501349</v>
      </c>
      <c r="M16" s="264">
        <f t="shared" ref="M16:AE16" si="10">M15-M25+M24+L16</f>
        <v>3849.652884779488</v>
      </c>
      <c r="N16" s="264">
        <f t="shared" si="10"/>
        <v>4524.3777803113189</v>
      </c>
      <c r="O16" s="264">
        <f t="shared" si="10"/>
        <v>5183.9809648846913</v>
      </c>
      <c r="P16" s="264">
        <f t="shared" si="10"/>
        <v>5930.2545894566592</v>
      </c>
      <c r="Q16" s="264">
        <f t="shared" si="10"/>
        <v>6768.2352394690215</v>
      </c>
      <c r="R16" s="264">
        <f t="shared" si="10"/>
        <v>7696.3820696780276</v>
      </c>
      <c r="S16" s="264">
        <f t="shared" si="10"/>
        <v>8727.0225902370275</v>
      </c>
      <c r="T16" s="264">
        <f t="shared" si="10"/>
        <v>9865.9291677291603</v>
      </c>
      <c r="U16" s="264">
        <f t="shared" si="10"/>
        <v>10958.830564587668</v>
      </c>
      <c r="V16" s="264">
        <f t="shared" si="10"/>
        <v>12158.329789217596</v>
      </c>
      <c r="W16" s="264">
        <f t="shared" si="10"/>
        <v>13350.216477197075</v>
      </c>
      <c r="X16" s="264">
        <f t="shared" si="10"/>
        <v>14512.950115580899</v>
      </c>
      <c r="Y16" s="264">
        <f t="shared" si="10"/>
        <v>15654.040528548292</v>
      </c>
      <c r="Z16" s="264">
        <f t="shared" si="10"/>
        <v>16773.487716099255</v>
      </c>
      <c r="AA16" s="264">
        <f t="shared" si="10"/>
        <v>19681.2696690917</v>
      </c>
      <c r="AB16" s="264">
        <f t="shared" si="10"/>
        <v>22566.499010321419</v>
      </c>
      <c r="AC16" s="264">
        <f t="shared" si="10"/>
        <v>25429.17573978841</v>
      </c>
      <c r="AD16" s="264">
        <f t="shared" si="10"/>
        <v>28261.020276335079</v>
      </c>
      <c r="AE16" s="264">
        <f t="shared" si="10"/>
        <v>31070.312201119021</v>
      </c>
      <c r="AF16" s="188">
        <f>MIN(G16:AE16)</f>
        <v>295.44424236555483</v>
      </c>
    </row>
    <row r="17" spans="1:33" ht="17.149999999999999" hidden="1" customHeight="1" x14ac:dyDescent="0.35">
      <c r="B17" s="42"/>
      <c r="C17" s="47"/>
      <c r="D17" s="84"/>
      <c r="E17" s="84"/>
      <c r="F17" s="84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75"/>
    </row>
    <row r="18" spans="1:33" ht="17.149999999999999" hidden="1" customHeight="1" x14ac:dyDescent="0.35">
      <c r="B18" s="42"/>
      <c r="C18" s="47"/>
      <c r="D18" s="84"/>
      <c r="E18" s="84"/>
      <c r="F18" s="84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75"/>
    </row>
    <row r="19" spans="1:33" ht="17.149999999999999" hidden="1" customHeight="1" x14ac:dyDescent="0.35">
      <c r="A19" s="34" t="s">
        <v>47</v>
      </c>
      <c r="B19" s="42"/>
      <c r="C19" s="47" t="s">
        <v>48</v>
      </c>
      <c r="D19" s="84"/>
      <c r="E19" s="84"/>
      <c r="F19" s="84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75"/>
    </row>
    <row r="20" spans="1:33" ht="17.149999999999999" customHeight="1" x14ac:dyDescent="0.35">
      <c r="B20" s="42"/>
      <c r="C20" s="51" t="s">
        <v>49</v>
      </c>
      <c r="D20" s="84"/>
      <c r="E20" s="84"/>
      <c r="F20" s="84"/>
      <c r="G20" s="49">
        <v>0</v>
      </c>
      <c r="H20" s="49">
        <v>0</v>
      </c>
      <c r="I20" s="49">
        <v>0</v>
      </c>
      <c r="J20" s="401">
        <f>IF(参数表!C41="否",所得税率/2,IF(损益!J4&lt;=2030,参数表!C42/2,所得税率/2))</f>
        <v>0.125</v>
      </c>
      <c r="K20" s="403">
        <f>J20</f>
        <v>0.125</v>
      </c>
      <c r="L20" s="131">
        <f>J20</f>
        <v>0.125</v>
      </c>
      <c r="M20" s="402">
        <f>IF(参数表!C41="否",所得税率,IF(损益!J4&lt;=2030,参数表!C42,所得税率))</f>
        <v>0.25</v>
      </c>
      <c r="N20" s="132">
        <f>M20</f>
        <v>0.25</v>
      </c>
      <c r="O20" s="132">
        <f t="shared" ref="O20:AE20" si="11">N20</f>
        <v>0.25</v>
      </c>
      <c r="P20" s="132">
        <f t="shared" si="11"/>
        <v>0.25</v>
      </c>
      <c r="Q20" s="402">
        <f>所得税率</f>
        <v>0.25</v>
      </c>
      <c r="R20" s="132">
        <f t="shared" si="11"/>
        <v>0.25</v>
      </c>
      <c r="S20" s="132">
        <f t="shared" si="11"/>
        <v>0.25</v>
      </c>
      <c r="T20" s="132">
        <f t="shared" si="11"/>
        <v>0.25</v>
      </c>
      <c r="U20" s="132">
        <f t="shared" si="11"/>
        <v>0.25</v>
      </c>
      <c r="V20" s="132">
        <f t="shared" si="11"/>
        <v>0.25</v>
      </c>
      <c r="W20" s="132">
        <f t="shared" si="11"/>
        <v>0.25</v>
      </c>
      <c r="X20" s="132">
        <f t="shared" si="11"/>
        <v>0.25</v>
      </c>
      <c r="Y20" s="132">
        <f t="shared" si="11"/>
        <v>0.25</v>
      </c>
      <c r="Z20" s="132">
        <f t="shared" si="11"/>
        <v>0.25</v>
      </c>
      <c r="AA20" s="132">
        <f t="shared" si="11"/>
        <v>0.25</v>
      </c>
      <c r="AB20" s="132">
        <f t="shared" si="11"/>
        <v>0.25</v>
      </c>
      <c r="AC20" s="132">
        <f t="shared" si="11"/>
        <v>0.25</v>
      </c>
      <c r="AD20" s="132">
        <f t="shared" si="11"/>
        <v>0.25</v>
      </c>
      <c r="AE20" s="132">
        <f t="shared" si="11"/>
        <v>0.25</v>
      </c>
      <c r="AF20" s="75"/>
    </row>
    <row r="21" spans="1:33" ht="17.149999999999999" customHeight="1" x14ac:dyDescent="0.35">
      <c r="B21" s="42">
        <v>9</v>
      </c>
      <c r="C21" s="47" t="s">
        <v>48</v>
      </c>
      <c r="D21" s="84"/>
      <c r="E21" s="84"/>
      <c r="F21" s="84"/>
      <c r="G21" s="49">
        <f t="shared" ref="G21:L21" si="12">IF(G15&lt;0,0,(G15-G22)*G20)</f>
        <v>0</v>
      </c>
      <c r="H21" s="49">
        <f t="shared" si="12"/>
        <v>0</v>
      </c>
      <c r="I21" s="49">
        <f t="shared" si="12"/>
        <v>0</v>
      </c>
      <c r="J21" s="49">
        <f t="shared" si="12"/>
        <v>73.430685995934596</v>
      </c>
      <c r="K21" s="49">
        <f t="shared" si="12"/>
        <v>84.156522403144322</v>
      </c>
      <c r="L21" s="49">
        <f t="shared" si="12"/>
        <v>94.521422146990517</v>
      </c>
      <c r="M21" s="49">
        <f t="shared" ref="M21:AE21" si="13">IF(M15&lt;0,0,(M15-M22)*M20)</f>
        <v>213.23186840978428</v>
      </c>
      <c r="N21" s="49">
        <f t="shared" si="13"/>
        <v>224.90829851061039</v>
      </c>
      <c r="O21" s="49">
        <f t="shared" si="13"/>
        <v>219.86772819112412</v>
      </c>
      <c r="P21" s="49">
        <f t="shared" si="13"/>
        <v>248.7578748573228</v>
      </c>
      <c r="Q21" s="49">
        <f t="shared" si="13"/>
        <v>279.32688333745409</v>
      </c>
      <c r="R21" s="49">
        <f t="shared" si="13"/>
        <v>309.38227673633537</v>
      </c>
      <c r="S21" s="49">
        <f t="shared" si="13"/>
        <v>343.54684018633316</v>
      </c>
      <c r="T21" s="49">
        <f t="shared" si="13"/>
        <v>379.635525830711</v>
      </c>
      <c r="U21" s="49">
        <f t="shared" si="13"/>
        <v>364.30046561950223</v>
      </c>
      <c r="V21" s="49">
        <f t="shared" si="13"/>
        <v>399.83307487664251</v>
      </c>
      <c r="W21" s="49">
        <f t="shared" si="13"/>
        <v>397.29556265982637</v>
      </c>
      <c r="X21" s="49">
        <f t="shared" si="13"/>
        <v>387.57787946127473</v>
      </c>
      <c r="Y21" s="49">
        <f t="shared" si="13"/>
        <v>380.36347098913086</v>
      </c>
      <c r="Z21" s="49">
        <f t="shared" si="13"/>
        <v>373.14906251698721</v>
      </c>
      <c r="AA21" s="49">
        <f t="shared" si="13"/>
        <v>969.26065099748143</v>
      </c>
      <c r="AB21" s="49">
        <f t="shared" si="13"/>
        <v>961.74311374323929</v>
      </c>
      <c r="AC21" s="49">
        <f t="shared" si="13"/>
        <v>954.22557648899692</v>
      </c>
      <c r="AD21" s="49">
        <f t="shared" si="13"/>
        <v>943.94817884888926</v>
      </c>
      <c r="AE21" s="49">
        <f t="shared" si="13"/>
        <v>936.43064159464711</v>
      </c>
      <c r="AF21" s="188">
        <f>SUM(D21:AE21)</f>
        <v>9538.8936044023631</v>
      </c>
    </row>
    <row r="22" spans="1:33" ht="17.149999999999999" customHeight="1" x14ac:dyDescent="0.35">
      <c r="B22" s="42">
        <v>7</v>
      </c>
      <c r="C22" s="47" t="s">
        <v>50</v>
      </c>
      <c r="D22" s="84"/>
      <c r="E22" s="84"/>
      <c r="F22" s="84"/>
      <c r="G22" s="49">
        <f t="shared" ref="G22:L22" si="14">IF(G15&lt;0,0,IF(F16&gt;0,0,MIN(G15,-F16)))</f>
        <v>1E-3</v>
      </c>
      <c r="H22" s="49">
        <f t="shared" si="14"/>
        <v>0</v>
      </c>
      <c r="I22" s="49">
        <f t="shared" si="14"/>
        <v>0</v>
      </c>
      <c r="J22" s="49">
        <f t="shared" si="14"/>
        <v>0</v>
      </c>
      <c r="K22" s="49">
        <f t="shared" si="14"/>
        <v>0</v>
      </c>
      <c r="L22" s="49">
        <f t="shared" si="14"/>
        <v>0</v>
      </c>
      <c r="M22" s="49">
        <f t="shared" ref="M22:AE22" si="15">IF(M15&lt;0,0,IF(L16&gt;0,0,MIN(M15,-L16)))</f>
        <v>0</v>
      </c>
      <c r="N22" s="49">
        <f t="shared" si="15"/>
        <v>0</v>
      </c>
      <c r="O22" s="49">
        <f t="shared" si="15"/>
        <v>0</v>
      </c>
      <c r="P22" s="49">
        <f t="shared" si="15"/>
        <v>0</v>
      </c>
      <c r="Q22" s="49">
        <f t="shared" si="15"/>
        <v>0</v>
      </c>
      <c r="R22" s="49">
        <f t="shared" si="15"/>
        <v>0</v>
      </c>
      <c r="S22" s="49">
        <f t="shared" si="15"/>
        <v>0</v>
      </c>
      <c r="T22" s="49">
        <f t="shared" si="15"/>
        <v>0</v>
      </c>
      <c r="U22" s="49">
        <f t="shared" si="15"/>
        <v>0</v>
      </c>
      <c r="V22" s="49">
        <f t="shared" si="15"/>
        <v>0</v>
      </c>
      <c r="W22" s="49">
        <f t="shared" si="15"/>
        <v>0</v>
      </c>
      <c r="X22" s="49">
        <f t="shared" si="15"/>
        <v>0</v>
      </c>
      <c r="Y22" s="49">
        <f t="shared" si="15"/>
        <v>0</v>
      </c>
      <c r="Z22" s="49">
        <f t="shared" si="15"/>
        <v>0</v>
      </c>
      <c r="AA22" s="49">
        <f t="shared" si="15"/>
        <v>0</v>
      </c>
      <c r="AB22" s="49">
        <f t="shared" si="15"/>
        <v>0</v>
      </c>
      <c r="AC22" s="49">
        <f t="shared" si="15"/>
        <v>0</v>
      </c>
      <c r="AD22" s="49">
        <f t="shared" si="15"/>
        <v>0</v>
      </c>
      <c r="AE22" s="49">
        <f t="shared" si="15"/>
        <v>0</v>
      </c>
      <c r="AF22" s="75"/>
    </row>
    <row r="23" spans="1:33" ht="17.149999999999999" customHeight="1" x14ac:dyDescent="0.35">
      <c r="B23" s="42"/>
      <c r="C23" s="47" t="s">
        <v>282</v>
      </c>
      <c r="D23" s="84"/>
      <c r="E23" s="84"/>
      <c r="F23" s="84"/>
      <c r="G23" s="49">
        <f t="shared" ref="G23:L23" si="16">IF(G15&lt;0,-G15,0)</f>
        <v>0</v>
      </c>
      <c r="H23" s="49">
        <f t="shared" si="16"/>
        <v>0</v>
      </c>
      <c r="I23" s="49">
        <f t="shared" si="16"/>
        <v>0</v>
      </c>
      <c r="J23" s="49">
        <f t="shared" si="16"/>
        <v>0</v>
      </c>
      <c r="K23" s="49">
        <f t="shared" si="16"/>
        <v>0</v>
      </c>
      <c r="L23" s="49">
        <f t="shared" si="16"/>
        <v>0</v>
      </c>
      <c r="M23" s="49">
        <f t="shared" ref="M23:AE23" si="17">IF(M15&lt;0,-M15,0)</f>
        <v>0</v>
      </c>
      <c r="N23" s="49">
        <f t="shared" si="17"/>
        <v>0</v>
      </c>
      <c r="O23" s="49">
        <f t="shared" si="17"/>
        <v>0</v>
      </c>
      <c r="P23" s="49">
        <f t="shared" si="17"/>
        <v>0</v>
      </c>
      <c r="Q23" s="49">
        <f t="shared" si="17"/>
        <v>0</v>
      </c>
      <c r="R23" s="49">
        <f t="shared" si="17"/>
        <v>0</v>
      </c>
      <c r="S23" s="49">
        <f t="shared" si="17"/>
        <v>0</v>
      </c>
      <c r="T23" s="49">
        <f t="shared" si="17"/>
        <v>0</v>
      </c>
      <c r="U23" s="49">
        <f t="shared" si="17"/>
        <v>0</v>
      </c>
      <c r="V23" s="49">
        <f t="shared" si="17"/>
        <v>0</v>
      </c>
      <c r="W23" s="49">
        <f t="shared" si="17"/>
        <v>0</v>
      </c>
      <c r="X23" s="49">
        <f t="shared" si="17"/>
        <v>0</v>
      </c>
      <c r="Y23" s="49">
        <f t="shared" si="17"/>
        <v>0</v>
      </c>
      <c r="Z23" s="49">
        <f t="shared" si="17"/>
        <v>0</v>
      </c>
      <c r="AA23" s="49">
        <f t="shared" si="17"/>
        <v>0</v>
      </c>
      <c r="AB23" s="49">
        <f t="shared" si="17"/>
        <v>0</v>
      </c>
      <c r="AC23" s="49">
        <f t="shared" si="17"/>
        <v>0</v>
      </c>
      <c r="AD23" s="49">
        <f t="shared" si="17"/>
        <v>0</v>
      </c>
      <c r="AE23" s="49">
        <f t="shared" si="17"/>
        <v>0</v>
      </c>
      <c r="AF23" s="75"/>
    </row>
    <row r="24" spans="1:33" ht="17.149999999999999" customHeight="1" x14ac:dyDescent="0.35">
      <c r="B24" s="42"/>
      <c r="C24" s="47" t="s">
        <v>283</v>
      </c>
      <c r="D24" s="84"/>
      <c r="E24" s="84"/>
      <c r="F24" s="84"/>
      <c r="G24" s="49"/>
      <c r="H24" s="49"/>
      <c r="I24" s="49"/>
      <c r="J24" s="49"/>
      <c r="K24" s="49"/>
      <c r="L24" s="49">
        <f>IF(SUM($G$23:G23)&gt;(SUM($G$22:L22)+SUM($G$24:K24)),SUM($G$23:G23)-(SUM($G$22:L22)+SUM($G$24:K24)),0)</f>
        <v>0</v>
      </c>
      <c r="M24" s="49">
        <f>IF(SUM($G$23:H23)&gt;(SUM($G$22:M22)+SUM($G$24:L24)),SUM($G$23:H23)-(SUM($G$22:M22)+SUM($G$24:L24)),0)</f>
        <v>0</v>
      </c>
      <c r="N24" s="49">
        <f>IF(SUM($G$23:I23)&gt;(SUM($G$22:N22)+SUM($G$24:M24)),SUM($G$23:I23)-(SUM($G$22:N22)+SUM($G$24:M24)),0)</f>
        <v>0</v>
      </c>
      <c r="O24" s="49">
        <f>IF(SUM($G$23:J23)&gt;(SUM($G$22:O22)+SUM($G$24:N24)),SUM($G$23:J23)-(SUM($G$22:O22)+SUM($G$24:N24)),0)</f>
        <v>0</v>
      </c>
      <c r="P24" s="49">
        <f>IF(SUM($G$23:K23)&gt;(SUM($G$22:P22)+SUM($G$24:O24)),SUM($G$23:K23)-(SUM($G$22:P22)+SUM($G$24:O24)),0)</f>
        <v>0</v>
      </c>
      <c r="Q24" s="49">
        <f>IF(SUM($G$23:L23)&gt;(SUM($G$22:Q22)+SUM($G$24:P24)),SUM($G$23:L23)-(SUM($G$22:Q22)+SUM($G$24:P24)),0)</f>
        <v>0</v>
      </c>
      <c r="R24" s="49">
        <f>IF(SUM($G$23:M23)&gt;(SUM($G$22:R22)+SUM($G$24:Q24)),SUM($G$23:M23)-(SUM($G$22:R22)+SUM($G$24:Q24)),0)</f>
        <v>0</v>
      </c>
      <c r="S24" s="49">
        <f>IF(SUM($G$23:N23)&gt;(SUM($G$22:S22)+SUM($G$24:R24)),SUM($G$23:N23)-(SUM($G$22:S22)+SUM($G$24:R24)),0)</f>
        <v>0</v>
      </c>
      <c r="T24" s="49">
        <f>IF(SUM($G$23:O23)&gt;(SUM($G$22:T22)+SUM($G$24:S24)),SUM($G$23:O23)-(SUM($G$22:T22)+SUM($G$24:S24)),0)</f>
        <v>0</v>
      </c>
      <c r="U24" s="49">
        <f>IF(SUM($G$23:P23)&gt;(SUM($G$22:U22)+SUM($G$24:T24)),SUM($G$23:P23)-(SUM($G$22:U22)+SUM($G$24:T24)),0)</f>
        <v>0</v>
      </c>
      <c r="V24" s="49">
        <f>IF(SUM($G$23:Q23)&gt;(SUM($G$22:V22)+SUM($G$24:U24)),SUM($G$23:Q23)-(SUM($G$22:V22)+SUM($G$24:U24)),0)</f>
        <v>0</v>
      </c>
      <c r="W24" s="49">
        <f>IF(SUM($G$23:R23)&gt;(SUM($G$22:W22)+SUM($G$24:V24)),SUM($G$23:R23)-(SUM($G$22:W22)+SUM($G$24:V24)),0)</f>
        <v>0</v>
      </c>
      <c r="X24" s="49">
        <f>IF(SUM($G$23:S23)&gt;(SUM($G$22:X22)+SUM($G$24:W24)),SUM($G$23:S23)-(SUM($G$22:X22)+SUM($G$24:W24)),0)</f>
        <v>0</v>
      </c>
      <c r="Y24" s="49">
        <f>IF(SUM($G$23:T23)&gt;(SUM($G$22:Y22)+SUM($G$24:X24)),SUM($G$23:T23)-(SUM($G$22:Y22)+SUM($G$24:X24)),0)</f>
        <v>0</v>
      </c>
      <c r="Z24" s="49">
        <f>IF(SUM($G$23:U23)&gt;(SUM($G$22:Z22)+SUM($G$24:Y24)),SUM($G$23:U23)-(SUM($G$22:Z22)+SUM($G$24:Y24)),0)</f>
        <v>0</v>
      </c>
      <c r="AA24" s="49">
        <f>IF(SUM($G$23:V23)&gt;(SUM($G$22:AA22)+SUM($G$24:Z24)),SUM($G$23:V23)-(SUM($G$22:AA22)+SUM($G$24:Z24)),0)</f>
        <v>0</v>
      </c>
      <c r="AB24" s="49">
        <f>IF(SUM($G$23:W23)&gt;(SUM($G$22:AB22)+SUM($G$24:AA24)),SUM($G$23:W23)-(SUM($G$22:AB22)+SUM($G$24:AA24)),0)</f>
        <v>0</v>
      </c>
      <c r="AC24" s="49">
        <f>IF(SUM($G$23:X23)&gt;(SUM($G$22:AC22)+SUM($G$24:AB24)),SUM($G$23:X23)-(SUM($G$22:AC22)+SUM($G$24:AB24)),0)</f>
        <v>0</v>
      </c>
      <c r="AD24" s="49">
        <f>IF(SUM($G$23:Y23)&gt;(SUM($G$22:AD22)+SUM($G$24:AC24)),SUM($G$23:Y23)-(SUM($G$22:AD22)+SUM($G$24:AC24)),0)</f>
        <v>0</v>
      </c>
      <c r="AE24" s="49">
        <f>IF(SUM($G$23:Z23)&gt;(SUM($G$22:AE22)+SUM($G$24:AD24)),SUM($G$23:Z23)-(SUM($G$22:AE22)+SUM($G$24:AD24)),0)</f>
        <v>0</v>
      </c>
      <c r="AF24" s="75"/>
    </row>
    <row r="25" spans="1:33" ht="17.149999999999999" customHeight="1" x14ac:dyDescent="0.35">
      <c r="B25" s="42"/>
      <c r="C25" s="47" t="s">
        <v>48</v>
      </c>
      <c r="D25" s="84"/>
      <c r="E25" s="84"/>
      <c r="F25" s="84"/>
      <c r="G25" s="49">
        <f t="shared" ref="G25:L25" si="18">G21</f>
        <v>0</v>
      </c>
      <c r="H25" s="49">
        <f t="shared" si="18"/>
        <v>0</v>
      </c>
      <c r="I25" s="49">
        <f t="shared" si="18"/>
        <v>0</v>
      </c>
      <c r="J25" s="49">
        <f t="shared" si="18"/>
        <v>73.430685995934596</v>
      </c>
      <c r="K25" s="49">
        <f t="shared" si="18"/>
        <v>84.156522403144322</v>
      </c>
      <c r="L25" s="49">
        <f t="shared" si="18"/>
        <v>94.521422146990517</v>
      </c>
      <c r="M25" s="49">
        <f t="shared" ref="M25:AE25" si="19">M21</f>
        <v>213.23186840978428</v>
      </c>
      <c r="N25" s="49">
        <f t="shared" si="19"/>
        <v>224.90829851061039</v>
      </c>
      <c r="O25" s="49">
        <f t="shared" si="19"/>
        <v>219.86772819112412</v>
      </c>
      <c r="P25" s="49">
        <f t="shared" si="19"/>
        <v>248.7578748573228</v>
      </c>
      <c r="Q25" s="49">
        <f t="shared" si="19"/>
        <v>279.32688333745409</v>
      </c>
      <c r="R25" s="49">
        <f t="shared" si="19"/>
        <v>309.38227673633537</v>
      </c>
      <c r="S25" s="49">
        <f t="shared" si="19"/>
        <v>343.54684018633316</v>
      </c>
      <c r="T25" s="49">
        <f t="shared" si="19"/>
        <v>379.635525830711</v>
      </c>
      <c r="U25" s="49">
        <f t="shared" si="19"/>
        <v>364.30046561950223</v>
      </c>
      <c r="V25" s="49">
        <f t="shared" si="19"/>
        <v>399.83307487664251</v>
      </c>
      <c r="W25" s="49">
        <f t="shared" si="19"/>
        <v>397.29556265982637</v>
      </c>
      <c r="X25" s="49">
        <f t="shared" si="19"/>
        <v>387.57787946127473</v>
      </c>
      <c r="Y25" s="49">
        <f t="shared" si="19"/>
        <v>380.36347098913086</v>
      </c>
      <c r="Z25" s="49">
        <f t="shared" si="19"/>
        <v>373.14906251698721</v>
      </c>
      <c r="AA25" s="49">
        <f t="shared" si="19"/>
        <v>969.26065099748143</v>
      </c>
      <c r="AB25" s="49">
        <f t="shared" si="19"/>
        <v>961.74311374323929</v>
      </c>
      <c r="AC25" s="49">
        <f t="shared" si="19"/>
        <v>954.22557648899692</v>
      </c>
      <c r="AD25" s="49">
        <f t="shared" si="19"/>
        <v>943.94817884888926</v>
      </c>
      <c r="AE25" s="49">
        <f t="shared" si="19"/>
        <v>936.43064159464711</v>
      </c>
      <c r="AF25" s="75"/>
    </row>
    <row r="26" spans="1:33" ht="17.149999999999999" customHeight="1" x14ac:dyDescent="0.35">
      <c r="B26" s="42">
        <v>10</v>
      </c>
      <c r="C26" s="47" t="s">
        <v>51</v>
      </c>
      <c r="D26" s="84"/>
      <c r="E26" s="84"/>
      <c r="F26" s="84"/>
      <c r="G26" s="49">
        <f t="shared" ref="G26:L26" si="20">IF(G15&lt;=0,0,G15-G22-G25)</f>
        <v>295.44424236555483</v>
      </c>
      <c r="H26" s="49">
        <f t="shared" si="20"/>
        <v>540.89471623897862</v>
      </c>
      <c r="I26" s="49">
        <f t="shared" si="20"/>
        <v>608.85790712311518</v>
      </c>
      <c r="J26" s="49">
        <f t="shared" si="20"/>
        <v>514.01480197154217</v>
      </c>
      <c r="K26" s="49">
        <f t="shared" si="20"/>
        <v>589.09565682201026</v>
      </c>
      <c r="L26" s="49">
        <f t="shared" si="20"/>
        <v>661.64995502893362</v>
      </c>
      <c r="M26" s="49">
        <f t="shared" ref="M26:AE26" si="21">IF(M15&lt;=0,0,M15-M22-M25)</f>
        <v>639.69560522935285</v>
      </c>
      <c r="N26" s="49">
        <f t="shared" si="21"/>
        <v>674.72489553183118</v>
      </c>
      <c r="O26" s="49">
        <f t="shared" si="21"/>
        <v>659.60318457337235</v>
      </c>
      <c r="P26" s="49">
        <f t="shared" si="21"/>
        <v>746.27362457196841</v>
      </c>
      <c r="Q26" s="49">
        <f t="shared" si="21"/>
        <v>837.98065001236228</v>
      </c>
      <c r="R26" s="49">
        <f t="shared" si="21"/>
        <v>928.14683020900611</v>
      </c>
      <c r="S26" s="49">
        <f t="shared" si="21"/>
        <v>1030.6405205589995</v>
      </c>
      <c r="T26" s="49">
        <f t="shared" si="21"/>
        <v>1138.906577492133</v>
      </c>
      <c r="U26" s="49">
        <f t="shared" si="21"/>
        <v>1092.9013968585068</v>
      </c>
      <c r="V26" s="49">
        <f t="shared" si="21"/>
        <v>1199.4992246299275</v>
      </c>
      <c r="W26" s="49">
        <f t="shared" si="21"/>
        <v>1191.8866879794791</v>
      </c>
      <c r="X26" s="49">
        <f t="shared" si="21"/>
        <v>1162.7336383838242</v>
      </c>
      <c r="Y26" s="49">
        <f t="shared" si="21"/>
        <v>1141.0904129673927</v>
      </c>
      <c r="Z26" s="49">
        <f t="shared" si="21"/>
        <v>1119.4471875509616</v>
      </c>
      <c r="AA26" s="49">
        <f t="shared" si="21"/>
        <v>2907.7819529924445</v>
      </c>
      <c r="AB26" s="49">
        <f t="shared" si="21"/>
        <v>2885.2293412297176</v>
      </c>
      <c r="AC26" s="49">
        <f t="shared" si="21"/>
        <v>2862.6767294669908</v>
      </c>
      <c r="AD26" s="49">
        <f t="shared" si="21"/>
        <v>2831.8445365466678</v>
      </c>
      <c r="AE26" s="49">
        <f t="shared" si="21"/>
        <v>2809.2919247839413</v>
      </c>
      <c r="AF26" s="75">
        <f>SUM(D26:AE26)</f>
        <v>31070.312201119021</v>
      </c>
    </row>
    <row r="27" spans="1:33" ht="17.149999999999999" customHeight="1" x14ac:dyDescent="0.35">
      <c r="B27" s="42">
        <v>11</v>
      </c>
      <c r="C27" s="47" t="s">
        <v>52</v>
      </c>
      <c r="D27" s="84"/>
      <c r="E27" s="84"/>
      <c r="F27" s="84"/>
      <c r="G27" s="49">
        <f t="shared" ref="G27:AE27" si="22">IF(G16&lt;=0,0,G26*盈余公积金)</f>
        <v>29.544424236555486</v>
      </c>
      <c r="H27" s="49">
        <f t="shared" si="22"/>
        <v>54.089471623897865</v>
      </c>
      <c r="I27" s="49">
        <f t="shared" si="22"/>
        <v>60.885790712311518</v>
      </c>
      <c r="J27" s="49">
        <f t="shared" si="22"/>
        <v>51.401480197154221</v>
      </c>
      <c r="K27" s="49">
        <f t="shared" si="22"/>
        <v>58.909565682201027</v>
      </c>
      <c r="L27" s="49">
        <f t="shared" si="22"/>
        <v>66.164995502893362</v>
      </c>
      <c r="M27" s="49">
        <f t="shared" si="22"/>
        <v>63.969560522935289</v>
      </c>
      <c r="N27" s="49">
        <f t="shared" si="22"/>
        <v>67.472489553183124</v>
      </c>
      <c r="O27" s="49">
        <f t="shared" si="22"/>
        <v>65.960318457337237</v>
      </c>
      <c r="P27" s="49">
        <f t="shared" si="22"/>
        <v>74.627362457196838</v>
      </c>
      <c r="Q27" s="49">
        <f t="shared" si="22"/>
        <v>83.798065001236239</v>
      </c>
      <c r="R27" s="49">
        <f t="shared" si="22"/>
        <v>92.814683020900617</v>
      </c>
      <c r="S27" s="49">
        <f t="shared" si="22"/>
        <v>103.06405205589995</v>
      </c>
      <c r="T27" s="49">
        <f t="shared" si="22"/>
        <v>113.8906577492133</v>
      </c>
      <c r="U27" s="49">
        <f t="shared" si="22"/>
        <v>109.29013968585069</v>
      </c>
      <c r="V27" s="49">
        <f t="shared" si="22"/>
        <v>119.94992246299276</v>
      </c>
      <c r="W27" s="49">
        <f t="shared" si="22"/>
        <v>119.18866879794791</v>
      </c>
      <c r="X27" s="49">
        <f t="shared" si="22"/>
        <v>116.27336383838242</v>
      </c>
      <c r="Y27" s="49">
        <f t="shared" si="22"/>
        <v>114.10904129673928</v>
      </c>
      <c r="Z27" s="49">
        <f t="shared" si="22"/>
        <v>111.94471875509618</v>
      </c>
      <c r="AA27" s="49">
        <f t="shared" si="22"/>
        <v>290.77819529924449</v>
      </c>
      <c r="AB27" s="49">
        <f t="shared" si="22"/>
        <v>288.52293412297178</v>
      </c>
      <c r="AC27" s="49">
        <f t="shared" si="22"/>
        <v>286.26767294669907</v>
      </c>
      <c r="AD27" s="49">
        <f t="shared" si="22"/>
        <v>283.18445365466681</v>
      </c>
      <c r="AE27" s="49">
        <f t="shared" si="22"/>
        <v>280.92919247839416</v>
      </c>
      <c r="AF27" s="75">
        <f>SUM(D27:AE27)</f>
        <v>3107.0312201119018</v>
      </c>
      <c r="AG27" s="69"/>
    </row>
    <row r="28" spans="1:33" ht="17.149999999999999" customHeight="1" x14ac:dyDescent="0.35">
      <c r="B28" s="42">
        <v>12</v>
      </c>
      <c r="C28" s="47" t="s">
        <v>53</v>
      </c>
      <c r="D28" s="84"/>
      <c r="E28" s="84"/>
      <c r="F28" s="84"/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75">
        <f>SUM(D28:AE28)</f>
        <v>0</v>
      </c>
    </row>
    <row r="29" spans="1:33" ht="17.149999999999999" customHeight="1" x14ac:dyDescent="0.35">
      <c r="B29" s="42">
        <v>13</v>
      </c>
      <c r="C29" s="47" t="s">
        <v>54</v>
      </c>
      <c r="D29" s="84"/>
      <c r="E29" s="84"/>
      <c r="F29" s="84"/>
      <c r="G29" s="49">
        <f t="shared" ref="G29:AE29" si="23">IF(G16&lt;=0,0,G26-G27-G28)</f>
        <v>265.89981812899936</v>
      </c>
      <c r="H29" s="49">
        <f t="shared" si="23"/>
        <v>486.80524461508077</v>
      </c>
      <c r="I29" s="49">
        <f t="shared" si="23"/>
        <v>547.97211641080366</v>
      </c>
      <c r="J29" s="49">
        <f t="shared" si="23"/>
        <v>462.61332177438794</v>
      </c>
      <c r="K29" s="49">
        <f t="shared" si="23"/>
        <v>530.18609113980926</v>
      </c>
      <c r="L29" s="49">
        <f t="shared" si="23"/>
        <v>595.48495952604026</v>
      </c>
      <c r="M29" s="49">
        <f t="shared" si="23"/>
        <v>575.72604470641761</v>
      </c>
      <c r="N29" s="49">
        <f t="shared" si="23"/>
        <v>607.25240597864808</v>
      </c>
      <c r="O29" s="49">
        <f t="shared" si="23"/>
        <v>593.64286611603507</v>
      </c>
      <c r="P29" s="49">
        <f t="shared" si="23"/>
        <v>671.64626211477162</v>
      </c>
      <c r="Q29" s="49">
        <f t="shared" si="23"/>
        <v>754.18258501112609</v>
      </c>
      <c r="R29" s="49">
        <f t="shared" si="23"/>
        <v>835.33214718810552</v>
      </c>
      <c r="S29" s="49">
        <f t="shared" si="23"/>
        <v>927.57646850309948</v>
      </c>
      <c r="T29" s="49">
        <f t="shared" si="23"/>
        <v>1025.0159197429198</v>
      </c>
      <c r="U29" s="49">
        <f t="shared" si="23"/>
        <v>983.61125717265611</v>
      </c>
      <c r="V29" s="49">
        <f t="shared" si="23"/>
        <v>1079.5493021669347</v>
      </c>
      <c r="W29" s="49">
        <f t="shared" si="23"/>
        <v>1072.6980191815312</v>
      </c>
      <c r="X29" s="49">
        <f t="shared" si="23"/>
        <v>1046.4602745454417</v>
      </c>
      <c r="Y29" s="49">
        <f t="shared" si="23"/>
        <v>1026.9813716706535</v>
      </c>
      <c r="Z29" s="49">
        <f t="shared" si="23"/>
        <v>1007.5024687958655</v>
      </c>
      <c r="AA29" s="49">
        <f t="shared" si="23"/>
        <v>2617.0037576932</v>
      </c>
      <c r="AB29" s="49">
        <f t="shared" si="23"/>
        <v>2596.7064071067457</v>
      </c>
      <c r="AC29" s="49">
        <f t="shared" si="23"/>
        <v>2576.4090565202919</v>
      </c>
      <c r="AD29" s="49">
        <f t="shared" si="23"/>
        <v>2548.6600828920009</v>
      </c>
      <c r="AE29" s="49">
        <f t="shared" si="23"/>
        <v>2528.3627323055471</v>
      </c>
      <c r="AF29" s="75">
        <f>SUM(D29:AE29)</f>
        <v>27963.280981007116</v>
      </c>
    </row>
    <row r="30" spans="1:33" ht="17.149999999999999" customHeight="1" x14ac:dyDescent="0.35">
      <c r="B30" s="42">
        <v>14</v>
      </c>
      <c r="C30" s="121" t="s">
        <v>55</v>
      </c>
      <c r="D30" s="84"/>
      <c r="E30" s="84"/>
      <c r="F30" s="84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75"/>
    </row>
    <row r="31" spans="1:33" ht="17.149999999999999" customHeight="1" x14ac:dyDescent="0.35">
      <c r="B31" s="42">
        <v>15</v>
      </c>
      <c r="C31" s="121" t="s">
        <v>56</v>
      </c>
      <c r="D31" s="84"/>
      <c r="E31" s="84"/>
      <c r="F31" s="84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75"/>
    </row>
    <row r="32" spans="1:33" ht="17.149999999999999" customHeight="1" x14ac:dyDescent="0.35">
      <c r="B32" s="42">
        <v>16</v>
      </c>
      <c r="C32" s="47" t="s">
        <v>57</v>
      </c>
      <c r="D32" s="84"/>
      <c r="E32" s="84"/>
      <c r="F32" s="84"/>
      <c r="G32" s="49">
        <f>财务计划!E31</f>
        <v>212.71985450319949</v>
      </c>
      <c r="H32" s="49">
        <f>财务计划!F31</f>
        <v>389.44419569206462</v>
      </c>
      <c r="I32" s="49">
        <f>财务计划!G31</f>
        <v>438.37769312864293</v>
      </c>
      <c r="J32" s="49">
        <f>财务计划!H31</f>
        <v>370.09065741951036</v>
      </c>
      <c r="K32" s="49">
        <f>财务计划!I31</f>
        <v>424.14887291184743</v>
      </c>
      <c r="L32" s="49">
        <f>财务计划!J31</f>
        <v>476.38796762083223</v>
      </c>
      <c r="M32" s="49">
        <f>财务计划!K31</f>
        <v>460.58083576513411</v>
      </c>
      <c r="N32" s="49">
        <f>财务计划!L31</f>
        <v>485.80192478291849</v>
      </c>
      <c r="O32" s="49">
        <f>财务计划!M31</f>
        <v>474.91429289282809</v>
      </c>
      <c r="P32" s="49">
        <f>财务计划!N31</f>
        <v>537.31700969181736</v>
      </c>
      <c r="Q32" s="49">
        <f>财务计划!O31</f>
        <v>603.34606800890094</v>
      </c>
      <c r="R32" s="49">
        <f>财务计划!P31</f>
        <v>668.26571775048444</v>
      </c>
      <c r="S32" s="49">
        <f>财务计划!Q31</f>
        <v>742.06117480247963</v>
      </c>
      <c r="T32" s="49">
        <f>财务计划!R31</f>
        <v>820.01273579433587</v>
      </c>
      <c r="U32" s="49">
        <f>财务计划!S31</f>
        <v>786.88900573812498</v>
      </c>
      <c r="V32" s="49">
        <f>财务计划!T31</f>
        <v>863.63944173354776</v>
      </c>
      <c r="W32" s="49">
        <f>财务计划!U31</f>
        <v>858.15841534522497</v>
      </c>
      <c r="X32" s="49">
        <f>财务计划!V31</f>
        <v>837.16821963635346</v>
      </c>
      <c r="Y32" s="49">
        <f>财务计划!W31</f>
        <v>821.58509733652284</v>
      </c>
      <c r="Z32" s="49">
        <f>财务计划!X31</f>
        <v>806.00197503669244</v>
      </c>
      <c r="AA32" s="49">
        <f>财务计划!Y31</f>
        <v>2093.6030061545603</v>
      </c>
      <c r="AB32" s="49">
        <f>财务计划!Z31</f>
        <v>2077.3651256853968</v>
      </c>
      <c r="AC32" s="49">
        <f>财务计划!AA31</f>
        <v>2061.1272452162334</v>
      </c>
      <c r="AD32" s="49">
        <f>财务计划!AB31</f>
        <v>2038.9280663136008</v>
      </c>
      <c r="AE32" s="49">
        <f>财务计划!AC31</f>
        <v>2022.6901858444378</v>
      </c>
      <c r="AF32" s="75"/>
    </row>
    <row r="33" spans="2:32" ht="17.149999999999999" customHeight="1" x14ac:dyDescent="0.35">
      <c r="B33" s="42">
        <v>17</v>
      </c>
      <c r="C33" s="47" t="s">
        <v>58</v>
      </c>
      <c r="D33" s="84"/>
      <c r="E33" s="84"/>
      <c r="F33" s="84"/>
      <c r="G33" s="122">
        <f>G29-G32+IF(G15&lt;0,G15,G22)</f>
        <v>53.180963625799869</v>
      </c>
      <c r="H33" s="122">
        <f t="shared" ref="H33:AE33" si="24">H29-H32+IF(H15&lt;0,H15,H22)</f>
        <v>97.361048923016142</v>
      </c>
      <c r="I33" s="122">
        <f t="shared" si="24"/>
        <v>109.59442328216073</v>
      </c>
      <c r="J33" s="122">
        <f t="shared" si="24"/>
        <v>92.522664354877577</v>
      </c>
      <c r="K33" s="122">
        <f t="shared" si="24"/>
        <v>106.03721822796183</v>
      </c>
      <c r="L33" s="122">
        <f t="shared" si="24"/>
        <v>119.09699190520803</v>
      </c>
      <c r="M33" s="122">
        <f t="shared" si="24"/>
        <v>115.1452089412835</v>
      </c>
      <c r="N33" s="122">
        <f t="shared" si="24"/>
        <v>121.45048119572959</v>
      </c>
      <c r="O33" s="122">
        <f t="shared" si="24"/>
        <v>118.72857322320698</v>
      </c>
      <c r="P33" s="122">
        <f t="shared" si="24"/>
        <v>134.32925242295426</v>
      </c>
      <c r="Q33" s="122">
        <f t="shared" si="24"/>
        <v>150.83651700222515</v>
      </c>
      <c r="R33" s="122">
        <f t="shared" si="24"/>
        <v>167.06642943762108</v>
      </c>
      <c r="S33" s="122">
        <f t="shared" si="24"/>
        <v>185.51529370061985</v>
      </c>
      <c r="T33" s="122">
        <f t="shared" si="24"/>
        <v>205.00318394858391</v>
      </c>
      <c r="U33" s="122">
        <f t="shared" si="24"/>
        <v>196.72225143453113</v>
      </c>
      <c r="V33" s="122">
        <f t="shared" si="24"/>
        <v>215.90986043338694</v>
      </c>
      <c r="W33" s="122">
        <f t="shared" si="24"/>
        <v>214.53960383630624</v>
      </c>
      <c r="X33" s="122">
        <f t="shared" si="24"/>
        <v>209.29205490908828</v>
      </c>
      <c r="Y33" s="122">
        <f t="shared" si="24"/>
        <v>205.39627433413068</v>
      </c>
      <c r="Z33" s="122">
        <f t="shared" si="24"/>
        <v>201.50049375917308</v>
      </c>
      <c r="AA33" s="122">
        <f t="shared" si="24"/>
        <v>523.40075153863972</v>
      </c>
      <c r="AB33" s="122">
        <f t="shared" si="24"/>
        <v>519.34128142134887</v>
      </c>
      <c r="AC33" s="122">
        <f t="shared" si="24"/>
        <v>515.28181130405846</v>
      </c>
      <c r="AD33" s="122">
        <f t="shared" si="24"/>
        <v>509.73201657840013</v>
      </c>
      <c r="AE33" s="122">
        <f t="shared" si="24"/>
        <v>505.67254646110928</v>
      </c>
      <c r="AF33" s="75"/>
    </row>
    <row r="34" spans="2:32" ht="14.6" thickBot="1" x14ac:dyDescent="0.35">
      <c r="B34" s="70">
        <v>18</v>
      </c>
      <c r="C34" s="123" t="s">
        <v>59</v>
      </c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78"/>
    </row>
    <row r="35" spans="2:32" x14ac:dyDescent="0.3">
      <c r="C35" s="124" t="s">
        <v>274</v>
      </c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</row>
    <row r="36" spans="2:32" x14ac:dyDescent="0.3">
      <c r="C36" s="125" t="s">
        <v>60</v>
      </c>
      <c r="D36" s="126"/>
      <c r="E36" s="126"/>
      <c r="F36" s="126"/>
      <c r="G36" s="127">
        <f>成本!D28</f>
        <v>5470.1291416373442</v>
      </c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33"/>
      <c r="AA36" s="133"/>
      <c r="AB36" s="133"/>
      <c r="AC36" s="133"/>
      <c r="AD36" s="133"/>
      <c r="AE36" s="133"/>
    </row>
    <row r="37" spans="2:32" x14ac:dyDescent="0.3">
      <c r="C37" s="128" t="s">
        <v>61</v>
      </c>
      <c r="D37" s="61"/>
      <c r="E37" s="61"/>
      <c r="F37" s="61"/>
      <c r="G37" s="129">
        <f t="shared" ref="G37:AE37" si="25">G8*增值税率</f>
        <v>733.89553954646021</v>
      </c>
      <c r="H37" s="129">
        <f t="shared" si="25"/>
        <v>768.35780973451324</v>
      </c>
      <c r="I37" s="129">
        <f t="shared" si="25"/>
        <v>764.39720246784077</v>
      </c>
      <c r="J37" s="129">
        <f t="shared" si="25"/>
        <v>760.43659520116796</v>
      </c>
      <c r="K37" s="129">
        <f t="shared" si="25"/>
        <v>756.47598793449515</v>
      </c>
      <c r="L37" s="129">
        <f t="shared" si="25"/>
        <v>752.51538066782246</v>
      </c>
      <c r="M37" s="129">
        <f t="shared" si="25"/>
        <v>748.55477340114953</v>
      </c>
      <c r="N37" s="129">
        <f t="shared" si="25"/>
        <v>744.59416613447684</v>
      </c>
      <c r="O37" s="129">
        <f t="shared" si="25"/>
        <v>740.63355886780425</v>
      </c>
      <c r="P37" s="129">
        <f t="shared" si="25"/>
        <v>736.67295160113144</v>
      </c>
      <c r="Q37" s="129">
        <f t="shared" si="25"/>
        <v>732.71234433445863</v>
      </c>
      <c r="R37" s="129">
        <f t="shared" si="25"/>
        <v>728.75173706778605</v>
      </c>
      <c r="S37" s="129">
        <f t="shared" si="25"/>
        <v>724.79112980111313</v>
      </c>
      <c r="T37" s="129">
        <f t="shared" si="25"/>
        <v>720.83052253444032</v>
      </c>
      <c r="U37" s="129">
        <f t="shared" si="25"/>
        <v>716.86991526776774</v>
      </c>
      <c r="V37" s="129">
        <f t="shared" si="25"/>
        <v>712.90930800109493</v>
      </c>
      <c r="W37" s="129">
        <f t="shared" si="25"/>
        <v>708.94870073442235</v>
      </c>
      <c r="X37" s="129">
        <f t="shared" si="25"/>
        <v>704.98809346774954</v>
      </c>
      <c r="Y37" s="129">
        <f t="shared" si="25"/>
        <v>701.02748620107661</v>
      </c>
      <c r="Z37" s="129">
        <f t="shared" si="25"/>
        <v>697.06687893440392</v>
      </c>
      <c r="AA37" s="129">
        <f t="shared" si="25"/>
        <v>693.10627166773111</v>
      </c>
      <c r="AB37" s="129">
        <f t="shared" si="25"/>
        <v>689.14566440105841</v>
      </c>
      <c r="AC37" s="129">
        <f t="shared" si="25"/>
        <v>685.18505713438572</v>
      </c>
      <c r="AD37" s="129">
        <f t="shared" si="25"/>
        <v>681.22444986771279</v>
      </c>
      <c r="AE37" s="129">
        <f t="shared" si="25"/>
        <v>677.26384260104021</v>
      </c>
    </row>
    <row r="38" spans="2:32" x14ac:dyDescent="0.3">
      <c r="C38" s="128" t="s">
        <v>62</v>
      </c>
      <c r="D38" s="61"/>
      <c r="E38" s="61"/>
      <c r="F38" s="61"/>
      <c r="G38" s="129">
        <f>G36-G37</f>
        <v>4736.2336020908842</v>
      </c>
      <c r="H38" s="129">
        <f>G38-H37</f>
        <v>3967.8757923563708</v>
      </c>
      <c r="I38" s="129">
        <f t="shared" ref="I38:O38" si="26">IF(H38-I37&gt;0,H38-I37,0)</f>
        <v>3203.4785898885302</v>
      </c>
      <c r="J38" s="129">
        <f t="shared" si="26"/>
        <v>2443.0419946873621</v>
      </c>
      <c r="K38" s="129">
        <f t="shared" si="26"/>
        <v>1686.566006752867</v>
      </c>
      <c r="L38" s="129">
        <f t="shared" si="26"/>
        <v>934.05062608504454</v>
      </c>
      <c r="M38" s="129">
        <f t="shared" si="26"/>
        <v>185.49585268389501</v>
      </c>
      <c r="N38" s="129">
        <f t="shared" si="26"/>
        <v>0</v>
      </c>
      <c r="O38" s="129">
        <f t="shared" si="26"/>
        <v>0</v>
      </c>
      <c r="P38" s="129">
        <f t="shared" ref="P38:AE38" si="27">IF(O38-P37&gt;0,O38-P37,0)</f>
        <v>0</v>
      </c>
      <c r="Q38" s="129">
        <f t="shared" si="27"/>
        <v>0</v>
      </c>
      <c r="R38" s="129">
        <f t="shared" si="27"/>
        <v>0</v>
      </c>
      <c r="S38" s="129">
        <f t="shared" si="27"/>
        <v>0</v>
      </c>
      <c r="T38" s="129">
        <f t="shared" si="27"/>
        <v>0</v>
      </c>
      <c r="U38" s="129">
        <f t="shared" si="27"/>
        <v>0</v>
      </c>
      <c r="V38" s="129">
        <f t="shared" si="27"/>
        <v>0</v>
      </c>
      <c r="W38" s="129">
        <f t="shared" si="27"/>
        <v>0</v>
      </c>
      <c r="X38" s="129">
        <f t="shared" si="27"/>
        <v>0</v>
      </c>
      <c r="Y38" s="129">
        <f t="shared" si="27"/>
        <v>0</v>
      </c>
      <c r="Z38" s="129">
        <f t="shared" si="27"/>
        <v>0</v>
      </c>
      <c r="AA38" s="129">
        <f t="shared" si="27"/>
        <v>0</v>
      </c>
      <c r="AB38" s="129">
        <f t="shared" si="27"/>
        <v>0</v>
      </c>
      <c r="AC38" s="129">
        <f t="shared" si="27"/>
        <v>0</v>
      </c>
      <c r="AD38" s="129">
        <f t="shared" si="27"/>
        <v>0</v>
      </c>
      <c r="AE38" s="129">
        <f t="shared" si="27"/>
        <v>0</v>
      </c>
    </row>
    <row r="39" spans="2:32" x14ac:dyDescent="0.3">
      <c r="C39" s="128" t="s">
        <v>63</v>
      </c>
      <c r="D39" s="61"/>
      <c r="E39" s="61"/>
      <c r="F39" s="61"/>
      <c r="G39" s="129">
        <f>G37</f>
        <v>733.89553954646021</v>
      </c>
      <c r="H39" s="129">
        <f t="shared" ref="H39:M39" si="28">IF(G38&gt;H37,H37,G38)</f>
        <v>768.35780973451324</v>
      </c>
      <c r="I39" s="129">
        <f t="shared" si="28"/>
        <v>764.39720246784077</v>
      </c>
      <c r="J39" s="129">
        <f t="shared" si="28"/>
        <v>760.43659520116796</v>
      </c>
      <c r="K39" s="129">
        <f t="shared" si="28"/>
        <v>756.47598793449515</v>
      </c>
      <c r="L39" s="129">
        <f t="shared" si="28"/>
        <v>752.51538066782246</v>
      </c>
      <c r="M39" s="129">
        <f t="shared" si="28"/>
        <v>748.55477340114953</v>
      </c>
      <c r="N39" s="129">
        <f t="shared" ref="N39:AE39" si="29">IF(M38&gt;N37,N37,M38)</f>
        <v>185.49585268389501</v>
      </c>
      <c r="O39" s="129">
        <f t="shared" si="29"/>
        <v>0</v>
      </c>
      <c r="P39" s="129">
        <f t="shared" si="29"/>
        <v>0</v>
      </c>
      <c r="Q39" s="129">
        <f t="shared" si="29"/>
        <v>0</v>
      </c>
      <c r="R39" s="129">
        <f t="shared" si="29"/>
        <v>0</v>
      </c>
      <c r="S39" s="129">
        <f t="shared" si="29"/>
        <v>0</v>
      </c>
      <c r="T39" s="129">
        <f t="shared" si="29"/>
        <v>0</v>
      </c>
      <c r="U39" s="129">
        <f t="shared" si="29"/>
        <v>0</v>
      </c>
      <c r="V39" s="129">
        <f t="shared" si="29"/>
        <v>0</v>
      </c>
      <c r="W39" s="129">
        <f t="shared" si="29"/>
        <v>0</v>
      </c>
      <c r="X39" s="129">
        <f t="shared" si="29"/>
        <v>0</v>
      </c>
      <c r="Y39" s="129">
        <f t="shared" si="29"/>
        <v>0</v>
      </c>
      <c r="Z39" s="129">
        <f t="shared" si="29"/>
        <v>0</v>
      </c>
      <c r="AA39" s="129">
        <f t="shared" si="29"/>
        <v>0</v>
      </c>
      <c r="AB39" s="129">
        <f t="shared" si="29"/>
        <v>0</v>
      </c>
      <c r="AC39" s="129">
        <f t="shared" si="29"/>
        <v>0</v>
      </c>
      <c r="AD39" s="129">
        <f t="shared" si="29"/>
        <v>0</v>
      </c>
      <c r="AE39" s="129">
        <f t="shared" si="29"/>
        <v>0</v>
      </c>
    </row>
    <row r="40" spans="2:32" x14ac:dyDescent="0.3">
      <c r="C40" s="128" t="s">
        <v>64</v>
      </c>
      <c r="D40" s="61"/>
      <c r="E40" s="61"/>
      <c r="F40" s="61"/>
      <c r="G40" s="129">
        <f>(G37-G39)/2</f>
        <v>0</v>
      </c>
      <c r="H40" s="129">
        <f>(H37-H39)/2</f>
        <v>0</v>
      </c>
      <c r="I40" s="129">
        <f>(I37-I39)</f>
        <v>0</v>
      </c>
      <c r="J40" s="129">
        <f t="shared" ref="J40:AE40" si="30">(J37-J39)</f>
        <v>0</v>
      </c>
      <c r="K40" s="129">
        <f t="shared" si="30"/>
        <v>0</v>
      </c>
      <c r="L40" s="129">
        <f t="shared" si="30"/>
        <v>0</v>
      </c>
      <c r="M40" s="129">
        <f t="shared" si="30"/>
        <v>0</v>
      </c>
      <c r="N40" s="129">
        <f t="shared" si="30"/>
        <v>559.09831345058183</v>
      </c>
      <c r="O40" s="129">
        <f t="shared" si="30"/>
        <v>740.63355886780425</v>
      </c>
      <c r="P40" s="129">
        <f t="shared" si="30"/>
        <v>736.67295160113144</v>
      </c>
      <c r="Q40" s="129">
        <f t="shared" si="30"/>
        <v>732.71234433445863</v>
      </c>
      <c r="R40" s="129">
        <f t="shared" si="30"/>
        <v>728.75173706778605</v>
      </c>
      <c r="S40" s="129">
        <f t="shared" si="30"/>
        <v>724.79112980111313</v>
      </c>
      <c r="T40" s="129">
        <f t="shared" si="30"/>
        <v>720.83052253444032</v>
      </c>
      <c r="U40" s="129">
        <f t="shared" si="30"/>
        <v>716.86991526776774</v>
      </c>
      <c r="V40" s="129">
        <f t="shared" si="30"/>
        <v>712.90930800109493</v>
      </c>
      <c r="W40" s="129">
        <f t="shared" si="30"/>
        <v>708.94870073442235</v>
      </c>
      <c r="X40" s="129">
        <f t="shared" si="30"/>
        <v>704.98809346774954</v>
      </c>
      <c r="Y40" s="129">
        <f t="shared" si="30"/>
        <v>701.02748620107661</v>
      </c>
      <c r="Z40" s="129">
        <f t="shared" si="30"/>
        <v>697.06687893440392</v>
      </c>
      <c r="AA40" s="129">
        <f t="shared" si="30"/>
        <v>693.10627166773111</v>
      </c>
      <c r="AB40" s="129">
        <f t="shared" si="30"/>
        <v>689.14566440105841</v>
      </c>
      <c r="AC40" s="129">
        <f t="shared" si="30"/>
        <v>685.18505713438572</v>
      </c>
      <c r="AD40" s="129">
        <f t="shared" si="30"/>
        <v>681.22444986771279</v>
      </c>
      <c r="AE40" s="129">
        <f t="shared" si="30"/>
        <v>677.26384260104021</v>
      </c>
    </row>
    <row r="41" spans="2:32" s="184" customFormat="1" x14ac:dyDescent="0.3">
      <c r="C41" s="251" t="s">
        <v>65</v>
      </c>
      <c r="D41" s="252"/>
      <c r="E41" s="252"/>
      <c r="F41" s="252"/>
      <c r="G41" s="253">
        <f>(G37-G39)/2</f>
        <v>0</v>
      </c>
      <c r="H41" s="253">
        <f t="shared" ref="H41:AE41" si="31">(H37-H39)/2</f>
        <v>0</v>
      </c>
      <c r="I41" s="253">
        <f t="shared" si="31"/>
        <v>0</v>
      </c>
      <c r="J41" s="253">
        <f t="shared" si="31"/>
        <v>0</v>
      </c>
      <c r="K41" s="253">
        <f t="shared" si="31"/>
        <v>0</v>
      </c>
      <c r="L41" s="253">
        <f t="shared" si="31"/>
        <v>0</v>
      </c>
      <c r="M41" s="253">
        <f t="shared" si="31"/>
        <v>0</v>
      </c>
      <c r="N41" s="253">
        <f t="shared" si="31"/>
        <v>279.54915672529091</v>
      </c>
      <c r="O41" s="253">
        <f t="shared" si="31"/>
        <v>370.31677943390213</v>
      </c>
      <c r="P41" s="253">
        <f t="shared" si="31"/>
        <v>368.33647580056572</v>
      </c>
      <c r="Q41" s="253">
        <f t="shared" si="31"/>
        <v>366.35617216722932</v>
      </c>
      <c r="R41" s="253">
        <f t="shared" si="31"/>
        <v>364.37586853389303</v>
      </c>
      <c r="S41" s="253">
        <f t="shared" si="31"/>
        <v>362.39556490055656</v>
      </c>
      <c r="T41" s="253">
        <f t="shared" si="31"/>
        <v>360.41526126722016</v>
      </c>
      <c r="U41" s="253">
        <f t="shared" si="31"/>
        <v>358.43495763388387</v>
      </c>
      <c r="V41" s="253">
        <f t="shared" si="31"/>
        <v>356.45465400054746</v>
      </c>
      <c r="W41" s="253">
        <f t="shared" si="31"/>
        <v>354.47435036721117</v>
      </c>
      <c r="X41" s="253">
        <f t="shared" si="31"/>
        <v>352.49404673387477</v>
      </c>
      <c r="Y41" s="253">
        <f t="shared" si="31"/>
        <v>350.51374310053831</v>
      </c>
      <c r="Z41" s="253">
        <f t="shared" si="31"/>
        <v>348.53343946720196</v>
      </c>
      <c r="AA41" s="253">
        <f t="shared" si="31"/>
        <v>346.55313583386555</v>
      </c>
      <c r="AB41" s="253">
        <f t="shared" si="31"/>
        <v>344.57283220052921</v>
      </c>
      <c r="AC41" s="253">
        <f t="shared" si="31"/>
        <v>342.59252856719286</v>
      </c>
      <c r="AD41" s="253">
        <f t="shared" si="31"/>
        <v>340.6122249338564</v>
      </c>
      <c r="AE41" s="253">
        <f t="shared" si="31"/>
        <v>338.6319213005201</v>
      </c>
    </row>
    <row r="42" spans="2:32" x14ac:dyDescent="0.3">
      <c r="C42" s="94"/>
      <c r="D42" s="72"/>
      <c r="E42" s="72"/>
      <c r="F42" s="72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</row>
    <row r="43" spans="2:32" x14ac:dyDescent="0.3">
      <c r="C43" s="396" t="s">
        <v>417</v>
      </c>
      <c r="D43" s="153"/>
      <c r="E43" s="153"/>
      <c r="F43" s="397"/>
      <c r="G43" s="154">
        <f>G26+成本!E13*(1-25%)-资产负债!D13*(资产负债!D23*参数表!$C$31+(1-资产负债!D23)*损益!$G$44)</f>
        <v>-645.71274774979588</v>
      </c>
      <c r="H43" s="154">
        <f>H26+成本!F13*(1-25%)-资产负债!E13*(资产负债!E23*参数表!$C$31+(1-资产负债!E23)*损益!$G$44)</f>
        <v>-377.15925042299205</v>
      </c>
      <c r="I43" s="154">
        <f>I26+成本!G13*(1-25%)-资产负债!F13*(资产负债!F23*参数表!$C$31+(1-资产负债!F23)*损益!$G$44)</f>
        <v>-285.5461842415466</v>
      </c>
      <c r="J43" s="154">
        <f>J26+成本!H13*(1-25%)-资产负债!G13*(资产负债!G23*参数表!$C$31+(1-资产负债!G23)*损益!$G$44)</f>
        <v>-354.12242532118717</v>
      </c>
      <c r="K43" s="154">
        <f>K26+成本!I13*(1-25%)-资产负债!H13*(资产负债!H23*参数表!$C$31+(1-资产负债!H23)*损益!$G$44)</f>
        <v>-252.18382455144501</v>
      </c>
      <c r="L43" s="154">
        <f>L26+成本!J13*(1-25%)-资产负债!I13*(资产负债!I23*参数表!$C$31+(1-资产负债!I23)*损益!$G$44)</f>
        <v>-152.07928307403085</v>
      </c>
      <c r="M43" s="154">
        <f>M26+成本!K13*(1-25%)-资产负债!J13*(资产负债!J23*参数表!$C$31+(1-资产负债!J23)*损益!$G$44)</f>
        <v>-144.55277967527513</v>
      </c>
      <c r="N43" s="154">
        <f>N26+成本!L13*(1-25%)-资产负债!K13*(资产负债!K23*参数表!$C$31+(1-资产负债!K23)*损益!$G$44)</f>
        <v>-78.736868538940598</v>
      </c>
      <c r="O43" s="154">
        <f>O26+成本!M13*(1-25%)-资产负债!L13*(资产负债!L23*参数表!$C$31+(1-资产负债!L23)*损益!$G$44)</f>
        <v>-61.067544917608075</v>
      </c>
      <c r="P43" s="154">
        <f>P26+成本!N13*(1-25%)-资产负债!M13*(资产负债!M23*参数表!$C$31+(1-资产负债!M23)*损益!$G$44)</f>
        <v>59.228806420334877</v>
      </c>
      <c r="Q43" s="154">
        <f>Q26+成本!O13*(1-25%)-资产负债!N13*(资产负债!N23*参数表!$C$31+(1-资产负债!N23)*损益!$G$44)</f>
        <v>185.42304275797505</v>
      </c>
      <c r="R43" s="154">
        <f>R26+成本!P13*(1-25%)-资产负债!O13*(资产负债!O23*参数表!$C$31+(1-资产负债!O23)*损益!$G$44)</f>
        <v>311.04930417334299</v>
      </c>
      <c r="S43" s="154">
        <f>S26+成本!Q13*(1-25%)-资产负债!P13*(资产负债!P23*参数表!$C$31+(1-资产负债!P23)*损益!$G$44)</f>
        <v>449.92096400970968</v>
      </c>
      <c r="T43" s="154">
        <f>T26+成本!R13*(1-25%)-资产负债!Q13*(资产负债!Q23*参数表!$C$31+(1-资产负债!Q23)*损益!$G$44)</f>
        <v>595.51316153033451</v>
      </c>
      <c r="U43" s="154">
        <f>U26+成本!S13*(1-25%)-资产负债!R13*(资产负债!R23*参数表!$C$31+(1-资产负债!R23)*损益!$G$44)</f>
        <v>569.79126434839714</v>
      </c>
      <c r="V43" s="154">
        <f>V26+成本!T13*(1-25%)-资产负债!S13*(资产负债!S23*参数表!$C$31+(1-资产负债!S23)*损益!$G$44)</f>
        <v>553.36797178316556</v>
      </c>
      <c r="W43" s="154">
        <f>W26+成本!U13*(1-25%)-资产负债!T13*(资产负债!T23*参数表!$C$31+(1-资产负债!T23)*损益!$G$44)</f>
        <v>517.04070237082828</v>
      </c>
      <c r="X43" s="154">
        <f>X26+成本!V13*(1-25%)-资产负债!U13*(资产负债!U23*参数表!$C$31+(1-资产负债!U23)*损益!$G$44)</f>
        <v>473.56277435028471</v>
      </c>
      <c r="Y43" s="154">
        <f>Y26+成本!W13*(1-25%)-资产负债!V13*(资产负债!V23*参数表!$C$31+(1-资产负债!V23)*损益!$G$44)</f>
        <v>437.86131504609489</v>
      </c>
      <c r="Z43" s="154">
        <f>Z26+成本!X13*(1-25%)-资产负债!W13*(资产负债!W23*参数表!$C$31+(1-资产负债!W23)*损益!$G$44)</f>
        <v>402.42650027903608</v>
      </c>
      <c r="AA43" s="154">
        <f>AA26+成本!Y13*(1-25%)-资产负债!X13*(资产负债!X23*参数表!$C$31+(1-资产负债!X23)*损益!$G$44)</f>
        <v>2154.9373920596522</v>
      </c>
      <c r="AB43" s="154">
        <f>AB26+成本!Z13*(1-25%)-资产负债!Y13*(资产负债!Y23*参数表!$C$31+(1-资产负债!Y23)*损益!$G$44)</f>
        <v>2096.8387548129754</v>
      </c>
      <c r="AC43" s="154">
        <f>AC26+成本!AA13*(1-25%)-资产负债!Z13*(资产负债!Z23*参数表!$C$31+(1-资产负债!Z23)*损益!$G$44)</f>
        <v>2039.017965743215</v>
      </c>
      <c r="AD43" s="154">
        <f>AD26+成本!AB13*(1-25%)-资产负债!AA13*(资产负债!AA23*参数表!$C$31+(1-资产负债!AA23)*损益!$G$44)</f>
        <v>1973.2974481326371</v>
      </c>
      <c r="AE43" s="154">
        <f>AE26+成本!AC13*(1-25%)-资产负债!AB13*(资产负债!AB23*参数表!$C$31+(1-资产负债!AB23)*损益!$G$44)</f>
        <v>1916.1343598565725</v>
      </c>
    </row>
    <row r="44" spans="2:32" x14ac:dyDescent="0.3">
      <c r="C44" s="398" t="s">
        <v>418</v>
      </c>
      <c r="D44" s="153"/>
      <c r="E44" s="153"/>
      <c r="F44" s="153"/>
      <c r="G44" s="230">
        <v>4.3999999999999997E-2</v>
      </c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</row>
    <row r="47" spans="2:32" x14ac:dyDescent="0.3">
      <c r="G47" s="175">
        <f>MIN(参数表!$C$14*参数表!$C$2,损益!G5)</f>
        <v>15908.343749999998</v>
      </c>
      <c r="H47" s="175">
        <f>MIN(参数表!$C$14*参数表!$C$2,损益!H5)</f>
        <v>16500</v>
      </c>
      <c r="I47" s="175">
        <f>MIN(参数表!$C$14*参数表!$C$2,损益!I5)</f>
        <v>16500</v>
      </c>
      <c r="J47" s="175">
        <f>MIN(参数表!$C$14*参数表!$C$2,损益!J5)</f>
        <v>16488</v>
      </c>
      <c r="K47" s="175">
        <f>MIN(参数表!$C$14*参数表!$C$2,损益!K5)</f>
        <v>16402.125</v>
      </c>
      <c r="L47" s="175">
        <f>MIN(参数表!$C$14*参数表!$C$2,损益!L5)</f>
        <v>16316.25</v>
      </c>
      <c r="M47" s="175">
        <f>MIN(参数表!$C$14*参数表!$C$2,损益!M5)</f>
        <v>16230.374999999998</v>
      </c>
      <c r="N47" s="175">
        <f>MIN(参数表!$C$14*参数表!$C$2,损益!N5)</f>
        <v>16144.5</v>
      </c>
      <c r="O47" s="175">
        <f>MIN(参数表!$C$14*参数表!$C$2,损益!O5)</f>
        <v>16058.625</v>
      </c>
      <c r="P47" s="175">
        <f>MIN(参数表!$C$14*参数表!$C$2,损益!P5)</f>
        <v>15972.750000000002</v>
      </c>
      <c r="Q47" s="175">
        <f>MIN(参数表!$C$14*参数表!$C$2,损益!Q5)</f>
        <v>15886.875</v>
      </c>
      <c r="R47" s="175">
        <f>MIN(参数表!$C$14*参数表!$C$2,损益!R5)</f>
        <v>15801.000000000002</v>
      </c>
      <c r="S47" s="175">
        <f>MIN(参数表!$C$14*参数表!$C$2,损益!S5)</f>
        <v>15715.125</v>
      </c>
      <c r="T47" s="175">
        <f>MIN(参数表!$C$14*参数表!$C$2,损益!T5)</f>
        <v>15629.25</v>
      </c>
      <c r="U47" s="175">
        <f>MIN(参数表!$C$14*参数表!$C$2,损益!U5)</f>
        <v>15543.375000000002</v>
      </c>
      <c r="V47" s="175">
        <f>MIN(参数表!$C$14*参数表!$C$2,损益!V5)</f>
        <v>15457.5</v>
      </c>
      <c r="W47" s="175">
        <f>MIN(参数表!$C$14*参数表!$C$2,损益!W5)</f>
        <v>15371.625000000002</v>
      </c>
      <c r="X47" s="175">
        <f>MIN(参数表!$C$14*参数表!$C$2,损益!X5)</f>
        <v>15285.750000000002</v>
      </c>
      <c r="Y47" s="175">
        <f>MIN(参数表!$C$14*参数表!$C$2,损益!Y5)</f>
        <v>15199.875</v>
      </c>
      <c r="Z47" s="175">
        <f>MIN(参数表!$C$14*参数表!$C$2,损益!Z5)</f>
        <v>15114</v>
      </c>
      <c r="AA47" s="175">
        <f>MIN(参数表!$C$14*参数表!$C$2,损益!AA5)</f>
        <v>15028.125</v>
      </c>
      <c r="AB47" s="175">
        <f>MIN(参数表!$C$14*参数表!$C$2,损益!AB5)</f>
        <v>14942.25</v>
      </c>
      <c r="AC47" s="175">
        <f>MIN(参数表!$C$14*参数表!$C$2,损益!AC5)</f>
        <v>14856.375</v>
      </c>
      <c r="AD47" s="175">
        <f>MIN(参数表!$C$14*参数表!$C$2,损益!AD5)</f>
        <v>14770.499999999998</v>
      </c>
      <c r="AE47" s="175">
        <f>MIN(参数表!$C$14*参数表!$C$2,损益!AE5)</f>
        <v>14684.625</v>
      </c>
    </row>
    <row r="48" spans="2:32" x14ac:dyDescent="0.3">
      <c r="G48" s="175">
        <f>G5-G47</f>
        <v>0</v>
      </c>
      <c r="H48" s="175">
        <f t="shared" ref="H48:AE48" si="32">H5-H47</f>
        <v>159.74999999999636</v>
      </c>
      <c r="I48" s="175">
        <f t="shared" si="32"/>
        <v>73.875</v>
      </c>
      <c r="J48" s="175">
        <f t="shared" si="32"/>
        <v>0</v>
      </c>
      <c r="K48" s="175">
        <f t="shared" si="32"/>
        <v>0</v>
      </c>
      <c r="L48" s="175">
        <f t="shared" si="32"/>
        <v>0</v>
      </c>
      <c r="M48" s="175">
        <f t="shared" si="32"/>
        <v>0</v>
      </c>
      <c r="N48" s="175">
        <f t="shared" si="32"/>
        <v>0</v>
      </c>
      <c r="O48" s="175">
        <f t="shared" si="32"/>
        <v>0</v>
      </c>
      <c r="P48" s="175">
        <f t="shared" si="32"/>
        <v>0</v>
      </c>
      <c r="Q48" s="175">
        <f t="shared" si="32"/>
        <v>0</v>
      </c>
      <c r="R48" s="175">
        <f t="shared" si="32"/>
        <v>0</v>
      </c>
      <c r="S48" s="175">
        <f t="shared" si="32"/>
        <v>0</v>
      </c>
      <c r="T48" s="175">
        <f t="shared" si="32"/>
        <v>0</v>
      </c>
      <c r="U48" s="175">
        <f t="shared" si="32"/>
        <v>0</v>
      </c>
      <c r="V48" s="175">
        <f t="shared" si="32"/>
        <v>0</v>
      </c>
      <c r="W48" s="175">
        <f t="shared" si="32"/>
        <v>0</v>
      </c>
      <c r="X48" s="175">
        <f t="shared" si="32"/>
        <v>0</v>
      </c>
      <c r="Y48" s="175">
        <f t="shared" si="32"/>
        <v>0</v>
      </c>
      <c r="Z48" s="175">
        <f t="shared" si="32"/>
        <v>0</v>
      </c>
      <c r="AA48" s="175">
        <f t="shared" si="32"/>
        <v>0</v>
      </c>
      <c r="AB48" s="175">
        <f t="shared" si="32"/>
        <v>0</v>
      </c>
      <c r="AC48" s="175">
        <f t="shared" si="32"/>
        <v>0</v>
      </c>
      <c r="AD48" s="175">
        <f t="shared" si="32"/>
        <v>0</v>
      </c>
      <c r="AE48" s="175">
        <f t="shared" si="32"/>
        <v>0</v>
      </c>
    </row>
    <row r="49" spans="4:31" x14ac:dyDescent="0.3">
      <c r="G49" s="477">
        <f>G47/G5*参数表!$C$8+损益!G48/损益!G5*参数表!$C$10</f>
        <v>0.40100000000000002</v>
      </c>
      <c r="H49" s="477">
        <f>H47/H5*参数表!$C$8+损益!H48/损益!H5*参数表!$C$10</f>
        <v>0.40089452122630892</v>
      </c>
      <c r="I49" s="477">
        <f>I47/I5*参数表!$C$8+损益!I48/损益!I5*参数表!$C$10</f>
        <v>0.40095096952281833</v>
      </c>
      <c r="J49" s="477">
        <f>J47/J5*参数表!$C$8+损益!J48/损益!J5*参数表!$C$10</f>
        <v>0.40100000000000002</v>
      </c>
      <c r="K49" s="477">
        <f>K47/K5*参数表!$C$8+损益!K48/损益!K5*参数表!$C$10</f>
        <v>0.40100000000000002</v>
      </c>
      <c r="L49" s="477">
        <f>L47/L5*参数表!$C$8+损益!L48/损益!L5*参数表!$C$10</f>
        <v>0.40100000000000002</v>
      </c>
      <c r="M49" s="477">
        <f>M47/M5*参数表!$C$8+损益!M48/损益!M5*参数表!$C$10</f>
        <v>0.40100000000000002</v>
      </c>
      <c r="N49" s="477">
        <f>N47/N5*参数表!$C$8+损益!N48/损益!N5*参数表!$C$10</f>
        <v>0.40100000000000002</v>
      </c>
      <c r="O49" s="477">
        <f>O47/O5*参数表!$C$8+损益!O48/损益!O5*参数表!$C$10</f>
        <v>0.40100000000000002</v>
      </c>
      <c r="P49" s="477">
        <f>P47/P5*参数表!$C$8+损益!P48/损益!P5*参数表!$C$10</f>
        <v>0.40100000000000002</v>
      </c>
      <c r="Q49" s="477">
        <f>Q47/Q5*参数表!$C$8+损益!Q48/损益!Q5*参数表!$C$10</f>
        <v>0.40100000000000002</v>
      </c>
      <c r="R49" s="477">
        <f>R47/R5*参数表!$C$8+损益!R48/损益!R5*参数表!$C$10</f>
        <v>0.40100000000000002</v>
      </c>
      <c r="S49" s="477">
        <f>S47/S5*参数表!$C$8+损益!S48/损益!S5*参数表!$C$10</f>
        <v>0.40100000000000002</v>
      </c>
      <c r="T49" s="477">
        <f>T47/T5*参数表!$C$8+损益!T48/损益!T5*参数表!$C$10</f>
        <v>0.40100000000000002</v>
      </c>
      <c r="U49" s="477">
        <f>U47/U5*参数表!$C$8+损益!U48/损益!U5*参数表!$C$10</f>
        <v>0.40100000000000002</v>
      </c>
      <c r="V49" s="477">
        <f>V47/V5*参数表!$C$8+损益!V48/损益!V5*参数表!$C$10</f>
        <v>0.40100000000000002</v>
      </c>
      <c r="W49" s="477">
        <f>W47/W5*参数表!$C$8+损益!W48/损益!W5*参数表!$C$10</f>
        <v>0.40100000000000002</v>
      </c>
      <c r="X49" s="477">
        <f>X47/X5*参数表!$C$8+损益!X48/损益!X5*参数表!$C$10</f>
        <v>0.40100000000000002</v>
      </c>
      <c r="Y49" s="477">
        <f>Y47/Y5*参数表!$C$8+损益!Y48/损益!Y5*参数表!$C$10</f>
        <v>0.40100000000000002</v>
      </c>
      <c r="Z49" s="477">
        <f>Z47/Z5*参数表!$C$8+损益!Z48/损益!Z5*参数表!$C$10</f>
        <v>0.40100000000000002</v>
      </c>
      <c r="AA49" s="477">
        <f>AA47/AA5*参数表!$C$8+损益!AA48/损益!AA5*参数表!$C$10</f>
        <v>0.40100000000000002</v>
      </c>
      <c r="AB49" s="477">
        <f>AB47/AB5*参数表!$C$8+损益!AB48/损益!AB5*参数表!$C$10</f>
        <v>0.40100000000000002</v>
      </c>
      <c r="AC49" s="477">
        <f>AC47/AC5*参数表!$C$8+损益!AC48/损益!AC5*参数表!$C$10</f>
        <v>0.40100000000000002</v>
      </c>
      <c r="AD49" s="477">
        <f>AD47/AD5*参数表!$C$8+损益!AD48/损益!AD5*参数表!$C$10</f>
        <v>0.40100000000000002</v>
      </c>
      <c r="AE49" s="477">
        <f>AE47/AE5*参数表!$C$8+损益!AE48/损益!AE5*参数表!$C$10</f>
        <v>0.40100000000000002</v>
      </c>
    </row>
    <row r="52" spans="4:31" x14ac:dyDescent="0.3"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</row>
    <row r="54" spans="4:31" x14ac:dyDescent="0.3">
      <c r="G54" s="170"/>
    </row>
    <row r="56" spans="4:31" x14ac:dyDescent="0.3">
      <c r="G56" s="81"/>
    </row>
    <row r="57" spans="4:31" x14ac:dyDescent="0.3">
      <c r="D57" s="81"/>
      <c r="G57" s="69"/>
      <c r="H57" s="175"/>
      <c r="J57" s="175"/>
    </row>
    <row r="58" spans="4:31" x14ac:dyDescent="0.3">
      <c r="D58" s="81"/>
      <c r="G58" s="69"/>
      <c r="H58" s="175"/>
      <c r="J58" s="175"/>
    </row>
    <row r="59" spans="4:31" x14ac:dyDescent="0.3">
      <c r="J59" s="175"/>
    </row>
    <row r="61" spans="4:31" x14ac:dyDescent="0.3">
      <c r="K61" s="81"/>
      <c r="L61" s="171"/>
      <c r="M61" s="171"/>
      <c r="N61" s="171"/>
      <c r="O61" s="171"/>
      <c r="P61" s="171"/>
      <c r="Q61" s="171"/>
      <c r="R61" s="171"/>
    </row>
    <row r="62" spans="4:31" x14ac:dyDescent="0.3">
      <c r="K62" s="81"/>
      <c r="L62" s="171"/>
      <c r="M62" s="171"/>
      <c r="N62" s="171"/>
      <c r="O62" s="171"/>
      <c r="P62" s="171"/>
      <c r="Q62" s="171"/>
      <c r="R62" s="171"/>
    </row>
    <row r="63" spans="4:31" x14ac:dyDescent="0.3">
      <c r="K63" s="81"/>
      <c r="L63" s="171"/>
      <c r="M63" s="171"/>
      <c r="N63" s="171"/>
      <c r="O63" s="171"/>
      <c r="P63" s="171"/>
      <c r="Q63" s="171"/>
      <c r="R63" s="171"/>
    </row>
    <row r="64" spans="4:31" x14ac:dyDescent="0.3">
      <c r="K64" s="81"/>
      <c r="L64" s="171"/>
      <c r="M64" s="171"/>
      <c r="N64" s="171"/>
      <c r="O64" s="171"/>
      <c r="P64" s="171"/>
      <c r="Q64" s="171"/>
      <c r="R64" s="171"/>
    </row>
    <row r="65" spans="10:18" x14ac:dyDescent="0.3">
      <c r="K65" s="81"/>
      <c r="L65" s="171"/>
      <c r="M65" s="171"/>
      <c r="N65" s="171"/>
      <c r="O65" s="171"/>
      <c r="P65" s="171"/>
      <c r="Q65" s="171"/>
    </row>
    <row r="66" spans="10:18" x14ac:dyDescent="0.3">
      <c r="K66" s="81"/>
      <c r="L66" s="171"/>
      <c r="M66" s="69"/>
      <c r="N66" s="69"/>
      <c r="O66" s="69"/>
      <c r="P66" s="69"/>
      <c r="Q66" s="69"/>
      <c r="R66" s="69"/>
    </row>
    <row r="67" spans="10:18" x14ac:dyDescent="0.3">
      <c r="K67" s="81"/>
    </row>
    <row r="68" spans="10:18" x14ac:dyDescent="0.3">
      <c r="K68" s="81"/>
      <c r="L68" s="69"/>
      <c r="M68" s="69"/>
      <c r="N68" s="69"/>
      <c r="O68" s="69"/>
      <c r="P68" s="69"/>
    </row>
    <row r="69" spans="10:18" x14ac:dyDescent="0.3">
      <c r="K69" s="81"/>
    </row>
    <row r="70" spans="10:18" x14ac:dyDescent="0.3">
      <c r="K70" s="81"/>
    </row>
    <row r="71" spans="10:18" x14ac:dyDescent="0.3">
      <c r="K71" s="81"/>
    </row>
    <row r="72" spans="10:18" x14ac:dyDescent="0.3">
      <c r="K72" s="81"/>
    </row>
    <row r="76" spans="10:18" x14ac:dyDescent="0.3">
      <c r="J76" s="81"/>
      <c r="K76" s="69"/>
    </row>
    <row r="77" spans="10:18" x14ac:dyDescent="0.3">
      <c r="J77" s="81"/>
      <c r="K77" s="69"/>
    </row>
    <row r="78" spans="10:18" x14ac:dyDescent="0.3">
      <c r="J78" s="81"/>
      <c r="K78" s="69"/>
    </row>
    <row r="79" spans="10:18" x14ac:dyDescent="0.3">
      <c r="J79" s="81"/>
      <c r="K79" s="69"/>
    </row>
    <row r="80" spans="10:18" x14ac:dyDescent="0.3">
      <c r="K80" s="69"/>
    </row>
    <row r="81" spans="11:11" x14ac:dyDescent="0.3">
      <c r="K81" s="175"/>
    </row>
  </sheetData>
  <mergeCells count="5">
    <mergeCell ref="B1:AF1"/>
    <mergeCell ref="G3:AE3"/>
    <mergeCell ref="B3:B4"/>
    <mergeCell ref="C3:C4"/>
    <mergeCell ref="AF3:AF4"/>
  </mergeCells>
  <phoneticPr fontId="61" type="noConversion"/>
  <pageMargins left="0.17986111111111111" right="0.37986111111111109" top="0.68958333333333333" bottom="1" header="0.5" footer="0.5"/>
  <pageSetup paperSize="9" scale="88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3CB3-10F1-44F4-807E-22BE2DA99189}">
  <dimension ref="B1:AH59"/>
  <sheetViews>
    <sheetView showGridLines="0" showZeros="0" zoomScale="115" zoomScaleNormal="115" zoomScaleSheetLayoutView="100" workbookViewId="0">
      <pane xSplit="4" ySplit="5" topLeftCell="E9" activePane="bottomRight" state="frozen"/>
      <selection pane="topRight"/>
      <selection pane="bottomLeft"/>
      <selection pane="bottomRight" activeCell="C18" sqref="C18"/>
    </sheetView>
  </sheetViews>
  <sheetFormatPr defaultColWidth="9" defaultRowHeight="14.15" x14ac:dyDescent="0.3"/>
  <cols>
    <col min="1" max="1" width="5.85546875" style="34" customWidth="1"/>
    <col min="2" max="2" width="6" style="34" customWidth="1"/>
    <col min="3" max="3" width="18.35546875" style="68" customWidth="1"/>
    <col min="4" max="6" width="7.5703125" style="34" customWidth="1"/>
    <col min="7" max="7" width="8.7109375" style="34" bestFit="1" customWidth="1"/>
    <col min="8" max="8" width="8.5703125" style="79" customWidth="1"/>
    <col min="9" max="31" width="8.5703125" style="34" customWidth="1"/>
    <col min="32" max="32" width="31.85546875" style="34" customWidth="1"/>
    <col min="33" max="16384" width="9" style="34"/>
  </cols>
  <sheetData>
    <row r="1" spans="2:32" ht="27" customHeight="1" x14ac:dyDescent="0.3">
      <c r="B1" s="529" t="s">
        <v>66</v>
      </c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  <c r="AC1" s="529"/>
      <c r="AD1" s="529"/>
      <c r="AE1" s="529"/>
      <c r="AF1" s="529"/>
    </row>
    <row r="2" spans="2:32" ht="14.6" thickBot="1" x14ac:dyDescent="0.35">
      <c r="B2" s="80" t="s">
        <v>67</v>
      </c>
      <c r="C2" s="538"/>
      <c r="D2" s="538"/>
      <c r="E2" s="73"/>
      <c r="F2" s="73"/>
      <c r="G2" s="73"/>
      <c r="H2" s="81"/>
      <c r="I2" s="81"/>
      <c r="J2" s="81"/>
      <c r="K2" s="81"/>
      <c r="L2" s="81"/>
      <c r="M2" s="81"/>
      <c r="N2" s="81"/>
      <c r="O2" s="81"/>
      <c r="P2" s="81"/>
      <c r="Q2" s="81"/>
      <c r="R2" s="80"/>
      <c r="S2" s="81"/>
      <c r="AF2" s="81"/>
    </row>
    <row r="3" spans="2:32" ht="15" x14ac:dyDescent="0.3">
      <c r="B3" s="532" t="s">
        <v>0</v>
      </c>
      <c r="C3" s="534" t="s">
        <v>7</v>
      </c>
      <c r="D3" s="249" t="s">
        <v>68</v>
      </c>
      <c r="E3" s="530" t="s">
        <v>34</v>
      </c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6" t="s">
        <v>11</v>
      </c>
    </row>
    <row r="4" spans="2:32" x14ac:dyDescent="0.3">
      <c r="B4" s="533"/>
      <c r="C4" s="535"/>
      <c r="D4" s="5">
        <v>1</v>
      </c>
      <c r="E4" s="5">
        <v>1</v>
      </c>
      <c r="F4" s="5">
        <f t="shared" ref="F4:AC4" si="0">E4+1</f>
        <v>2</v>
      </c>
      <c r="G4" s="5">
        <f t="shared" si="0"/>
        <v>3</v>
      </c>
      <c r="H4" s="5">
        <f t="shared" si="0"/>
        <v>4</v>
      </c>
      <c r="I4" s="5">
        <f t="shared" si="0"/>
        <v>5</v>
      </c>
      <c r="J4" s="5">
        <f t="shared" si="0"/>
        <v>6</v>
      </c>
      <c r="K4" s="5">
        <f t="shared" si="0"/>
        <v>7</v>
      </c>
      <c r="L4" s="5">
        <f t="shared" si="0"/>
        <v>8</v>
      </c>
      <c r="M4" s="5">
        <f t="shared" si="0"/>
        <v>9</v>
      </c>
      <c r="N4" s="5">
        <f t="shared" si="0"/>
        <v>10</v>
      </c>
      <c r="O4" s="5">
        <f t="shared" si="0"/>
        <v>11</v>
      </c>
      <c r="P4" s="5">
        <f t="shared" si="0"/>
        <v>12</v>
      </c>
      <c r="Q4" s="5">
        <f t="shared" si="0"/>
        <v>13</v>
      </c>
      <c r="R4" s="5">
        <f t="shared" si="0"/>
        <v>14</v>
      </c>
      <c r="S4" s="5">
        <f t="shared" si="0"/>
        <v>15</v>
      </c>
      <c r="T4" s="5">
        <f t="shared" si="0"/>
        <v>16</v>
      </c>
      <c r="U4" s="5">
        <f t="shared" si="0"/>
        <v>17</v>
      </c>
      <c r="V4" s="5">
        <f t="shared" si="0"/>
        <v>18</v>
      </c>
      <c r="W4" s="5">
        <f t="shared" si="0"/>
        <v>19</v>
      </c>
      <c r="X4" s="5">
        <f t="shared" si="0"/>
        <v>20</v>
      </c>
      <c r="Y4" s="5">
        <f t="shared" si="0"/>
        <v>21</v>
      </c>
      <c r="Z4" s="5">
        <f t="shared" si="0"/>
        <v>22</v>
      </c>
      <c r="AA4" s="5">
        <f t="shared" si="0"/>
        <v>23</v>
      </c>
      <c r="AB4" s="5">
        <f t="shared" si="0"/>
        <v>24</v>
      </c>
      <c r="AC4" s="5">
        <f t="shared" si="0"/>
        <v>25</v>
      </c>
      <c r="AD4" s="537"/>
    </row>
    <row r="5" spans="2:32" ht="14.6" x14ac:dyDescent="0.35">
      <c r="B5" s="42"/>
      <c r="C5" s="47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111"/>
    </row>
    <row r="6" spans="2:32" ht="14.6" x14ac:dyDescent="0.35">
      <c r="B6" s="42">
        <v>1</v>
      </c>
      <c r="C6" s="47" t="s">
        <v>69</v>
      </c>
      <c r="D6" s="82"/>
      <c r="E6" s="74">
        <f t="shared" ref="E6:AB6" si="1">E30</f>
        <v>2303.7787439503677</v>
      </c>
      <c r="F6" s="74">
        <f t="shared" si="1"/>
        <v>2425.0302567898607</v>
      </c>
      <c r="G6" s="74">
        <f t="shared" si="1"/>
        <v>2425.0302567898607</v>
      </c>
      <c r="H6" s="74">
        <f t="shared" si="1"/>
        <v>2425.0302567898607</v>
      </c>
      <c r="I6" s="74">
        <f t="shared" si="1"/>
        <v>2425.0302567898607</v>
      </c>
      <c r="J6" s="74">
        <f t="shared" si="1"/>
        <v>2425.0302567898607</v>
      </c>
      <c r="K6" s="74">
        <f t="shared" si="1"/>
        <v>2425.0302567898607</v>
      </c>
      <c r="L6" s="74">
        <f t="shared" si="1"/>
        <v>2425.0302567898607</v>
      </c>
      <c r="M6" s="74">
        <f t="shared" si="1"/>
        <v>2425.0302567898607</v>
      </c>
      <c r="N6" s="74">
        <f t="shared" si="1"/>
        <v>2425.0302567898607</v>
      </c>
      <c r="O6" s="74">
        <f t="shared" si="1"/>
        <v>2425.0302567898607</v>
      </c>
      <c r="P6" s="74">
        <f t="shared" si="1"/>
        <v>2425.0302567898607</v>
      </c>
      <c r="Q6" s="74">
        <f t="shared" si="1"/>
        <v>2425.0302567898607</v>
      </c>
      <c r="R6" s="74">
        <f t="shared" si="1"/>
        <v>2425.0302567898607</v>
      </c>
      <c r="S6" s="74">
        <f t="shared" si="1"/>
        <v>2425.0302567898607</v>
      </c>
      <c r="T6" s="74">
        <f t="shared" si="1"/>
        <v>2425.0302567898607</v>
      </c>
      <c r="U6" s="74">
        <f t="shared" si="1"/>
        <v>2425.0302567898607</v>
      </c>
      <c r="V6" s="74">
        <f t="shared" si="1"/>
        <v>2425.0302567898607</v>
      </c>
      <c r="W6" s="74">
        <f t="shared" si="1"/>
        <v>2425.0302567898607</v>
      </c>
      <c r="X6" s="74">
        <f t="shared" si="1"/>
        <v>2425.0302567898607</v>
      </c>
      <c r="Y6" s="74">
        <f t="shared" si="1"/>
        <v>0</v>
      </c>
      <c r="Z6" s="74">
        <f t="shared" si="1"/>
        <v>0</v>
      </c>
      <c r="AA6" s="74">
        <f t="shared" si="1"/>
        <v>0</v>
      </c>
      <c r="AB6" s="74">
        <f t="shared" si="1"/>
        <v>0</v>
      </c>
      <c r="AC6" s="74"/>
      <c r="AD6" s="112">
        <f t="shared" ref="AD6:AD22" si="2">SUM(D6:AC6)</f>
        <v>48379.353622957729</v>
      </c>
    </row>
    <row r="7" spans="2:32" ht="14.6" x14ac:dyDescent="0.35">
      <c r="B7" s="42">
        <v>2</v>
      </c>
      <c r="C7" s="47" t="s">
        <v>8</v>
      </c>
      <c r="D7" s="82"/>
      <c r="E7" s="74">
        <f>$D$29*参数表!D52</f>
        <v>102.10653712799413</v>
      </c>
      <c r="F7" s="74">
        <f>$D$29*参数表!E52</f>
        <v>102.10653712799413</v>
      </c>
      <c r="G7" s="74">
        <f>$D$29*参数表!F52</f>
        <v>102.10653712799413</v>
      </c>
      <c r="H7" s="74">
        <f>$D$29*参数表!G52</f>
        <v>204.21307425598826</v>
      </c>
      <c r="I7" s="74">
        <f>$D$29*参数表!H52</f>
        <v>204.21307425598826</v>
      </c>
      <c r="J7" s="74">
        <f>$D$29*参数表!I52</f>
        <v>204.21307425598826</v>
      </c>
      <c r="K7" s="74">
        <f>$D$29*参数表!J52</f>
        <v>204.21307425598826</v>
      </c>
      <c r="L7" s="74">
        <f>$D$29*参数表!K52</f>
        <v>204.21307425598826</v>
      </c>
      <c r="M7" s="74">
        <f>$D$29*参数表!L52</f>
        <v>306.31961138398242</v>
      </c>
      <c r="N7" s="74">
        <f>$D$29*参数表!M52</f>
        <v>306.31961138398242</v>
      </c>
      <c r="O7" s="74">
        <f>$D$29*参数表!N52</f>
        <v>306.31961138398242</v>
      </c>
      <c r="P7" s="74">
        <f>$D$29*参数表!O52</f>
        <v>306.31961138398242</v>
      </c>
      <c r="Q7" s="74">
        <f>$D$29*参数表!P52</f>
        <v>306.31961138398242</v>
      </c>
      <c r="R7" s="74">
        <f>$D$29*参数表!Q52</f>
        <v>306.31961138398242</v>
      </c>
      <c r="S7" s="74">
        <f>$D$29*参数表!R52</f>
        <v>510.53268563997068</v>
      </c>
      <c r="T7" s="74">
        <f>$D$29*参数表!S52</f>
        <v>510.53268563997068</v>
      </c>
      <c r="U7" s="74">
        <f>$D$29*参数表!T52</f>
        <v>510.53268563997068</v>
      </c>
      <c r="V7" s="74">
        <f>$D$29*参数表!U52</f>
        <v>510.53268563997068</v>
      </c>
      <c r="W7" s="74">
        <f>$D$29*参数表!V52</f>
        <v>510.53268563997068</v>
      </c>
      <c r="X7" s="74">
        <f>$D$29*参数表!W52</f>
        <v>510.53268563997068</v>
      </c>
      <c r="Y7" s="74">
        <f>$D$29*参数表!X52</f>
        <v>510.53268563997068</v>
      </c>
      <c r="Z7" s="74">
        <f>$D$29*参数表!Y52</f>
        <v>510.53268563997068</v>
      </c>
      <c r="AA7" s="74">
        <f>$D$29*参数表!Z52</f>
        <v>510.53268563997068</v>
      </c>
      <c r="AB7" s="74">
        <f>$D$29*参数表!AA52</f>
        <v>510.53268563997068</v>
      </c>
      <c r="AC7" s="74">
        <f>$D$29*参数表!AB52</f>
        <v>510.53268563997068</v>
      </c>
      <c r="AD7" s="112">
        <f t="shared" si="2"/>
        <v>8781.1621930074962</v>
      </c>
    </row>
    <row r="8" spans="2:32" ht="14.6" x14ac:dyDescent="0.35">
      <c r="B8" s="42">
        <v>3</v>
      </c>
      <c r="C8" s="47" t="s">
        <v>70</v>
      </c>
      <c r="D8" s="82"/>
      <c r="E8" s="74">
        <f>参数表!$C$53*参数表!$C$54*(1+参数表!$C$55)</f>
        <v>108</v>
      </c>
      <c r="F8" s="74">
        <f>参数表!$C$53*参数表!$C$54*(1+参数表!$C$55)</f>
        <v>108</v>
      </c>
      <c r="G8" s="74">
        <f>参数表!$C$53*参数表!$C$54*(1+参数表!$C$55)</f>
        <v>108</v>
      </c>
      <c r="H8" s="74">
        <f>参数表!$C$53*参数表!$C$54*(1+参数表!$C$55)</f>
        <v>108</v>
      </c>
      <c r="I8" s="74">
        <f>参数表!$C$53*参数表!$C$54*(1+参数表!$C$55)</f>
        <v>108</v>
      </c>
      <c r="J8" s="74">
        <f>参数表!$C$53*参数表!$C$54*(1+参数表!$C$55)</f>
        <v>108</v>
      </c>
      <c r="K8" s="74">
        <f>参数表!$C$53*参数表!$C$54*(1+参数表!$C$55)</f>
        <v>108</v>
      </c>
      <c r="L8" s="74">
        <f>参数表!$C$53*参数表!$C$54*(1+参数表!$C$55)</f>
        <v>108</v>
      </c>
      <c r="M8" s="74">
        <f>参数表!$C$53*参数表!$C$54*(1+参数表!$C$55)</f>
        <v>108</v>
      </c>
      <c r="N8" s="74">
        <f>参数表!$C$53*参数表!$C$54*(1+参数表!$C$55)</f>
        <v>108</v>
      </c>
      <c r="O8" s="74">
        <f>参数表!$C$53*参数表!$C$54*(1+参数表!$C$55)</f>
        <v>108</v>
      </c>
      <c r="P8" s="74">
        <f>参数表!$C$53*参数表!$C$54*(1+参数表!$C$55)</f>
        <v>108</v>
      </c>
      <c r="Q8" s="74">
        <f>参数表!$C$53*参数表!$C$54*(1+参数表!$C$55)</f>
        <v>108</v>
      </c>
      <c r="R8" s="74">
        <f>参数表!$C$53*参数表!$C$54*(1+参数表!$C$55)</f>
        <v>108</v>
      </c>
      <c r="S8" s="74">
        <f>参数表!$C$53*参数表!$C$54*(1+参数表!$C$55)</f>
        <v>108</v>
      </c>
      <c r="T8" s="74">
        <f>参数表!$C$53*参数表!$C$54*(1+参数表!$C$55)</f>
        <v>108</v>
      </c>
      <c r="U8" s="74">
        <f>参数表!$C$53*参数表!$C$54*(1+参数表!$C$55)</f>
        <v>108</v>
      </c>
      <c r="V8" s="74">
        <f>参数表!$C$53*参数表!$C$54*(1+参数表!$C$55)</f>
        <v>108</v>
      </c>
      <c r="W8" s="74">
        <f>参数表!$C$53*参数表!$C$54*(1+参数表!$C$55)</f>
        <v>108</v>
      </c>
      <c r="X8" s="74">
        <f>参数表!$C$53*参数表!$C$54*(1+参数表!$C$55)</f>
        <v>108</v>
      </c>
      <c r="Y8" s="74">
        <f>参数表!$C$53*参数表!$C$54*(1+参数表!$C$55)</f>
        <v>108</v>
      </c>
      <c r="Z8" s="74">
        <f>参数表!$C$53*参数表!$C$54*(1+参数表!$C$55)</f>
        <v>108</v>
      </c>
      <c r="AA8" s="74">
        <f>参数表!$C$53*参数表!$C$54*(1+参数表!$C$55)</f>
        <v>108</v>
      </c>
      <c r="AB8" s="74">
        <f>参数表!$C$53*参数表!$C$54*(1+参数表!$C$55)</f>
        <v>108</v>
      </c>
      <c r="AC8" s="74">
        <f>参数表!$C$53*参数表!$C$54*(1+参数表!$C$55)</f>
        <v>108</v>
      </c>
      <c r="AD8" s="112">
        <f t="shared" si="2"/>
        <v>2700</v>
      </c>
    </row>
    <row r="9" spans="2:32" ht="14.6" x14ac:dyDescent="0.35">
      <c r="B9" s="42">
        <v>4</v>
      </c>
      <c r="C9" s="47" t="s">
        <v>233</v>
      </c>
      <c r="D9" s="82"/>
      <c r="E9" s="74">
        <f>E31*参数表!$C$58</f>
        <v>24.374744910023349</v>
      </c>
      <c r="F9" s="74">
        <f>F31*参数表!$C$58</f>
        <v>23.162229781628419</v>
      </c>
      <c r="G9" s="74">
        <f>G31*参数表!$C$58</f>
        <v>21.949714653233489</v>
      </c>
      <c r="H9" s="74">
        <f>H31*参数表!$C$58</f>
        <v>20.737199524838559</v>
      </c>
      <c r="I9" s="74">
        <f>I31*参数表!$C$58</f>
        <v>19.524684396443629</v>
      </c>
      <c r="J9" s="74">
        <f>J31*参数表!$C$58</f>
        <v>18.312169268048695</v>
      </c>
      <c r="K9" s="74">
        <f>K31*参数表!$C$58</f>
        <v>17.099654139653765</v>
      </c>
      <c r="L9" s="74">
        <f>L31*参数表!$C$58</f>
        <v>15.887139011258835</v>
      </c>
      <c r="M9" s="74">
        <f>M31*参数表!$C$58</f>
        <v>14.674623882863903</v>
      </c>
      <c r="N9" s="74">
        <f>N31*参数表!$C$58</f>
        <v>13.462108754468973</v>
      </c>
      <c r="O9" s="74">
        <f>O31*参数表!$C$58</f>
        <v>12.249593626074041</v>
      </c>
      <c r="P9" s="74">
        <f>P31*参数表!$C$58</f>
        <v>11.037078497679111</v>
      </c>
      <c r="Q9" s="74">
        <f>Q31*参数表!$C$58</f>
        <v>9.8245633692841796</v>
      </c>
      <c r="R9" s="74">
        <f>R31*参数表!$C$58</f>
        <v>8.6120482408892496</v>
      </c>
      <c r="S9" s="74">
        <f>S31*参数表!$C$58</f>
        <v>7.3995331124943187</v>
      </c>
      <c r="T9" s="74">
        <f>T31*参数表!$C$58</f>
        <v>6.1870179840993877</v>
      </c>
      <c r="U9" s="74">
        <f>U31*参数表!$C$58</f>
        <v>4.9745028557044568</v>
      </c>
      <c r="V9" s="74">
        <f>V31*参数表!$C$58</f>
        <v>3.7619877273095268</v>
      </c>
      <c r="W9" s="74">
        <f>W31*参数表!$C$58</f>
        <v>2.5494725989145963</v>
      </c>
      <c r="X9" s="74">
        <f>X31*参数表!$C$58</f>
        <v>1.3369574705196661</v>
      </c>
      <c r="Y9" s="74">
        <f>Y31*参数表!$C$58</f>
        <v>1.3369574705196661</v>
      </c>
      <c r="Z9" s="74">
        <f>Z31*参数表!$C$58</f>
        <v>1.3369574705196661</v>
      </c>
      <c r="AA9" s="74">
        <f>AA31*参数表!$C$58</f>
        <v>1.3369574705196661</v>
      </c>
      <c r="AB9" s="74">
        <f>AB31*参数表!$C$58</f>
        <v>1.3369574705196661</v>
      </c>
      <c r="AC9" s="74">
        <f>AC31*参数表!$C$58</f>
        <v>1.3369574705196661</v>
      </c>
      <c r="AD9" s="112">
        <f t="shared" si="2"/>
        <v>263.80181115802856</v>
      </c>
    </row>
    <row r="10" spans="2:32" ht="14.6" x14ac:dyDescent="0.35">
      <c r="B10" s="42">
        <v>5</v>
      </c>
      <c r="C10" s="47" t="s">
        <v>232</v>
      </c>
      <c r="D10" s="82"/>
      <c r="E10" s="74">
        <f>参数表!$C$57*参数表!$C$2</f>
        <v>150</v>
      </c>
      <c r="F10" s="74">
        <f>参数表!$C$57*参数表!$C$2</f>
        <v>150</v>
      </c>
      <c r="G10" s="74">
        <f>参数表!$C$57*参数表!$C$2</f>
        <v>150</v>
      </c>
      <c r="H10" s="74">
        <f>参数表!$C$57*参数表!$C$2</f>
        <v>150</v>
      </c>
      <c r="I10" s="74">
        <f>参数表!$C$57*参数表!$C$2</f>
        <v>150</v>
      </c>
      <c r="J10" s="74">
        <f>参数表!$C$57*参数表!$C$2</f>
        <v>150</v>
      </c>
      <c r="K10" s="74">
        <f>参数表!$C$57*参数表!$C$2</f>
        <v>150</v>
      </c>
      <c r="L10" s="74">
        <f>参数表!$C$57*参数表!$C$2</f>
        <v>150</v>
      </c>
      <c r="M10" s="74">
        <f>参数表!$C$57*参数表!$C$2</f>
        <v>150</v>
      </c>
      <c r="N10" s="74">
        <f>参数表!$C$57*参数表!$C$2</f>
        <v>150</v>
      </c>
      <c r="O10" s="74">
        <f>参数表!$C$57*参数表!$C$2</f>
        <v>150</v>
      </c>
      <c r="P10" s="74">
        <f>参数表!$C$57*参数表!$C$2</f>
        <v>150</v>
      </c>
      <c r="Q10" s="74">
        <f>参数表!$C$57*参数表!$C$2</f>
        <v>150</v>
      </c>
      <c r="R10" s="74">
        <f>参数表!$C$57*参数表!$C$2</f>
        <v>150</v>
      </c>
      <c r="S10" s="74">
        <f>参数表!$C$57*参数表!$C$2</f>
        <v>150</v>
      </c>
      <c r="T10" s="74">
        <f>参数表!$C$57*参数表!$C$2</f>
        <v>150</v>
      </c>
      <c r="U10" s="74">
        <f>参数表!$C$57*参数表!$C$2</f>
        <v>150</v>
      </c>
      <c r="V10" s="74">
        <f>参数表!$C$57*参数表!$C$2</f>
        <v>150</v>
      </c>
      <c r="W10" s="74">
        <f>参数表!$C$57*参数表!$C$2</f>
        <v>150</v>
      </c>
      <c r="X10" s="74">
        <f>参数表!$C$57*参数表!$C$2</f>
        <v>150</v>
      </c>
      <c r="Y10" s="74">
        <f>参数表!$C$57*参数表!$C$2</f>
        <v>150</v>
      </c>
      <c r="Z10" s="74">
        <f>参数表!$C$57*参数表!$C$2</f>
        <v>150</v>
      </c>
      <c r="AA10" s="74">
        <f>参数表!$C$57*参数表!$C$2</f>
        <v>150</v>
      </c>
      <c r="AB10" s="74">
        <f>参数表!$C$57*参数表!$C$2</f>
        <v>150</v>
      </c>
      <c r="AC10" s="74">
        <f>参数表!$C$57*参数表!$C$2</f>
        <v>150</v>
      </c>
      <c r="AD10" s="112">
        <f t="shared" si="2"/>
        <v>3750</v>
      </c>
    </row>
    <row r="11" spans="2:32" ht="14.6" x14ac:dyDescent="0.35">
      <c r="B11" s="42">
        <v>6</v>
      </c>
      <c r="C11" s="47" t="s">
        <v>404</v>
      </c>
      <c r="D11" s="82"/>
      <c r="E11" s="74">
        <f>参数表!$C$43</f>
        <v>0</v>
      </c>
      <c r="F11" s="74">
        <f>参数表!$C$43</f>
        <v>0</v>
      </c>
      <c r="G11" s="74">
        <f>参数表!$C$43</f>
        <v>0</v>
      </c>
      <c r="H11" s="74">
        <f>参数表!$C$43</f>
        <v>0</v>
      </c>
      <c r="I11" s="74">
        <f>参数表!$C$43</f>
        <v>0</v>
      </c>
      <c r="J11" s="74">
        <f>参数表!$C$43</f>
        <v>0</v>
      </c>
      <c r="K11" s="74">
        <f>参数表!$C$43</f>
        <v>0</v>
      </c>
      <c r="L11" s="74">
        <f>参数表!$C$43</f>
        <v>0</v>
      </c>
      <c r="M11" s="74">
        <f>参数表!$C$43</f>
        <v>0</v>
      </c>
      <c r="N11" s="74">
        <f>参数表!$C$43</f>
        <v>0</v>
      </c>
      <c r="O11" s="74">
        <f>参数表!$C$43</f>
        <v>0</v>
      </c>
      <c r="P11" s="74">
        <f>参数表!$C$43</f>
        <v>0</v>
      </c>
      <c r="Q11" s="74">
        <f>参数表!$C$43</f>
        <v>0</v>
      </c>
      <c r="R11" s="74">
        <f>参数表!$C$43</f>
        <v>0</v>
      </c>
      <c r="S11" s="74">
        <f>参数表!$C$43</f>
        <v>0</v>
      </c>
      <c r="T11" s="74">
        <f>参数表!$C$43</f>
        <v>0</v>
      </c>
      <c r="U11" s="74">
        <f>参数表!$C$43</f>
        <v>0</v>
      </c>
      <c r="V11" s="74">
        <f>参数表!$C$43</f>
        <v>0</v>
      </c>
      <c r="W11" s="74">
        <f>参数表!$C$43</f>
        <v>0</v>
      </c>
      <c r="X11" s="74">
        <f>参数表!$C$43</f>
        <v>0</v>
      </c>
      <c r="Y11" s="74">
        <f>参数表!$C$43</f>
        <v>0</v>
      </c>
      <c r="Z11" s="74">
        <f>参数表!$C$43</f>
        <v>0</v>
      </c>
      <c r="AA11" s="74">
        <f>参数表!$C$43</f>
        <v>0</v>
      </c>
      <c r="AB11" s="74">
        <f>参数表!$C$43</f>
        <v>0</v>
      </c>
      <c r="AC11" s="74">
        <f>参数表!$C$43</f>
        <v>0</v>
      </c>
      <c r="AD11" s="112">
        <f t="shared" si="2"/>
        <v>0</v>
      </c>
    </row>
    <row r="12" spans="2:32" ht="14.6" x14ac:dyDescent="0.35">
      <c r="B12" s="42">
        <v>7</v>
      </c>
      <c r="C12" s="47" t="s">
        <v>291</v>
      </c>
      <c r="D12" s="82"/>
      <c r="E12" s="74">
        <f>F56</f>
        <v>156.91050000000001</v>
      </c>
      <c r="F12" s="74">
        <f t="shared" ref="F12:AC12" si="3">G56</f>
        <v>156.91050000000001</v>
      </c>
      <c r="G12" s="74">
        <f t="shared" si="3"/>
        <v>164.75602500000002</v>
      </c>
      <c r="H12" s="74">
        <f t="shared" si="3"/>
        <v>164.75602500000002</v>
      </c>
      <c r="I12" s="74">
        <f t="shared" si="3"/>
        <v>164.75602500000002</v>
      </c>
      <c r="J12" s="74">
        <f t="shared" si="3"/>
        <v>172.99382625000001</v>
      </c>
      <c r="K12" s="74">
        <f t="shared" si="3"/>
        <v>172.99382625000001</v>
      </c>
      <c r="L12" s="74">
        <f t="shared" si="3"/>
        <v>172.99382625000001</v>
      </c>
      <c r="M12" s="74">
        <f t="shared" si="3"/>
        <v>181.64351756250002</v>
      </c>
      <c r="N12" s="74">
        <f t="shared" si="3"/>
        <v>181.64351756250002</v>
      </c>
      <c r="O12" s="74">
        <f t="shared" si="3"/>
        <v>181.64351756250002</v>
      </c>
      <c r="P12" s="74">
        <f t="shared" si="3"/>
        <v>190.72569344062501</v>
      </c>
      <c r="Q12" s="74">
        <f t="shared" si="3"/>
        <v>190.72569344062501</v>
      </c>
      <c r="R12" s="74">
        <f t="shared" si="3"/>
        <v>190.72569344062501</v>
      </c>
      <c r="S12" s="74">
        <f t="shared" si="3"/>
        <v>200.26197811265629</v>
      </c>
      <c r="T12" s="74">
        <f t="shared" si="3"/>
        <v>200.26197811265629</v>
      </c>
      <c r="U12" s="74">
        <f t="shared" si="3"/>
        <v>200.26197811265629</v>
      </c>
      <c r="V12" s="74">
        <f t="shared" si="3"/>
        <v>210.27507701828907</v>
      </c>
      <c r="W12" s="74">
        <f t="shared" si="3"/>
        <v>210.27507701828907</v>
      </c>
      <c r="X12" s="74">
        <f t="shared" si="3"/>
        <v>210.27507701828907</v>
      </c>
      <c r="Y12" s="74">
        <f t="shared" si="3"/>
        <v>220.78883086920357</v>
      </c>
      <c r="Z12" s="74">
        <f t="shared" si="3"/>
        <v>220.78883086920357</v>
      </c>
      <c r="AA12" s="74">
        <f t="shared" si="3"/>
        <v>220.78883086920357</v>
      </c>
      <c r="AB12" s="74">
        <f t="shared" si="3"/>
        <v>231.82827241266372</v>
      </c>
      <c r="AC12" s="74">
        <f t="shared" si="3"/>
        <v>231.82827241266372</v>
      </c>
      <c r="AD12" s="112">
        <f t="shared" si="2"/>
        <v>4801.8123895851504</v>
      </c>
    </row>
    <row r="13" spans="2:32" ht="14.6" x14ac:dyDescent="0.35">
      <c r="B13" s="42">
        <v>8</v>
      </c>
      <c r="C13" s="47" t="s">
        <v>71</v>
      </c>
      <c r="D13" s="82"/>
      <c r="E13" s="74">
        <f t="shared" ref="E13:AC13" si="4">SUM(E14:E17)</f>
        <v>2129.7345358496</v>
      </c>
      <c r="F13" s="74">
        <f t="shared" si="4"/>
        <v>2029.340450327024</v>
      </c>
      <c r="G13" s="74">
        <f t="shared" si="4"/>
        <v>1924.2780398276479</v>
      </c>
      <c r="H13" s="74">
        <f t="shared" si="4"/>
        <v>1814.3302272400506</v>
      </c>
      <c r="I13" s="74">
        <f t="shared" si="4"/>
        <v>1699.2698413671303</v>
      </c>
      <c r="J13" s="74">
        <f t="shared" si="4"/>
        <v>1578.8591475511191</v>
      </c>
      <c r="K13" s="74">
        <f t="shared" si="4"/>
        <v>1452.8493564726634</v>
      </c>
      <c r="L13" s="74">
        <f t="shared" si="4"/>
        <v>1320.9801101090595</v>
      </c>
      <c r="M13" s="74">
        <f t="shared" si="4"/>
        <v>1182.9789437895481</v>
      </c>
      <c r="N13" s="74">
        <f t="shared" si="4"/>
        <v>1038.5607232361795</v>
      </c>
      <c r="O13" s="74">
        <f t="shared" si="4"/>
        <v>887.42705542707927</v>
      </c>
      <c r="P13" s="74">
        <f t="shared" si="4"/>
        <v>729.26567206485572</v>
      </c>
      <c r="Q13" s="74">
        <f t="shared" si="4"/>
        <v>563.74978437628886</v>
      </c>
      <c r="R13" s="74">
        <f t="shared" si="4"/>
        <v>390.53740791020346</v>
      </c>
      <c r="S13" s="74">
        <f t="shared" si="4"/>
        <v>209.27065593844523</v>
      </c>
      <c r="T13" s="74">
        <f t="shared" si="4"/>
        <v>38.282585021309217</v>
      </c>
      <c r="U13" s="74">
        <f t="shared" si="4"/>
        <v>19.57500000000023</v>
      </c>
      <c r="V13" s="74">
        <f t="shared" si="4"/>
        <v>19.57500000000023</v>
      </c>
      <c r="W13" s="74">
        <f t="shared" si="4"/>
        <v>19.57500000000023</v>
      </c>
      <c r="X13" s="74">
        <f t="shared" si="4"/>
        <v>19.57500000000023</v>
      </c>
      <c r="Y13" s="74">
        <f t="shared" si="4"/>
        <v>19.57500000000023</v>
      </c>
      <c r="Z13" s="74">
        <f t="shared" si="4"/>
        <v>19.57500000000023</v>
      </c>
      <c r="AA13" s="74">
        <f t="shared" si="4"/>
        <v>19.57500000000023</v>
      </c>
      <c r="AB13" s="74">
        <f t="shared" si="4"/>
        <v>19.57500000000023</v>
      </c>
      <c r="AC13" s="74">
        <f t="shared" si="4"/>
        <v>19.57500000000023</v>
      </c>
      <c r="AD13" s="112">
        <f t="shared" si="2"/>
        <v>19165.889536508213</v>
      </c>
    </row>
    <row r="14" spans="2:32" ht="14.6" x14ac:dyDescent="0.35">
      <c r="B14" s="42">
        <v>8.1</v>
      </c>
      <c r="C14" s="142" t="s">
        <v>72</v>
      </c>
      <c r="D14" s="84"/>
      <c r="E14" s="74">
        <f>还贷!E11</f>
        <v>2110.1595358496002</v>
      </c>
      <c r="F14" s="74">
        <f>还贷!F11</f>
        <v>2009.7654503270239</v>
      </c>
      <c r="G14" s="74">
        <f>还贷!G11</f>
        <v>1904.7030398276479</v>
      </c>
      <c r="H14" s="74">
        <f>还贷!H11</f>
        <v>1794.7552272400505</v>
      </c>
      <c r="I14" s="74">
        <f>还贷!I11</f>
        <v>1679.6948413671303</v>
      </c>
      <c r="J14" s="74">
        <f>还贷!J11</f>
        <v>1559.2841475511191</v>
      </c>
      <c r="K14" s="74">
        <f>还贷!K11</f>
        <v>1433.2743564726634</v>
      </c>
      <c r="L14" s="74">
        <f>还贷!L11</f>
        <v>1301.4051101090595</v>
      </c>
      <c r="M14" s="74">
        <f>还贷!M11</f>
        <v>1163.4039437895481</v>
      </c>
      <c r="N14" s="74">
        <f>还贷!N11</f>
        <v>1018.9857232361795</v>
      </c>
      <c r="O14" s="74">
        <f>还贷!O11</f>
        <v>867.85205542707922</v>
      </c>
      <c r="P14" s="74">
        <f>还贷!P11</f>
        <v>709.69067206485568</v>
      </c>
      <c r="Q14" s="74">
        <f>还贷!Q11</f>
        <v>544.17478437628881</v>
      </c>
      <c r="R14" s="74">
        <f>还贷!R11</f>
        <v>370.96240791020347</v>
      </c>
      <c r="S14" s="74">
        <f>还贷!S11</f>
        <v>189.69565593844524</v>
      </c>
      <c r="T14" s="74">
        <f>还贷!T11</f>
        <v>2.3260326997842638E-13</v>
      </c>
      <c r="U14" s="74">
        <f>还贷!U11</f>
        <v>2.3260326997842638E-13</v>
      </c>
      <c r="V14" s="74">
        <f>还贷!V11</f>
        <v>2.3260326997842638E-13</v>
      </c>
      <c r="W14" s="74">
        <f>还贷!W11</f>
        <v>2.3260326997842638E-13</v>
      </c>
      <c r="X14" s="74">
        <f>还贷!X11</f>
        <v>2.3260326997842638E-13</v>
      </c>
      <c r="Y14" s="74">
        <f>还贷!Y11</f>
        <v>2.3260326997842638E-13</v>
      </c>
      <c r="Z14" s="74">
        <f>还贷!Z11</f>
        <v>2.3260326997842638E-13</v>
      </c>
      <c r="AA14" s="74">
        <f>还贷!AA11</f>
        <v>2.3260326997842638E-13</v>
      </c>
      <c r="AB14" s="74">
        <f>还贷!AB11</f>
        <v>2.3260326997842638E-13</v>
      </c>
      <c r="AC14" s="74">
        <f>还贷!AC11</f>
        <v>2.3260326997842638E-13</v>
      </c>
      <c r="AD14" s="112">
        <f t="shared" si="2"/>
        <v>18657.806951486895</v>
      </c>
    </row>
    <row r="15" spans="2:32" ht="14.6" x14ac:dyDescent="0.35">
      <c r="B15" s="42">
        <v>8.1999999999999993</v>
      </c>
      <c r="C15" s="142" t="s">
        <v>73</v>
      </c>
      <c r="D15" s="84"/>
      <c r="E15" s="74">
        <f>还贷!E16</f>
        <v>19.574999999999999</v>
      </c>
      <c r="F15" s="74">
        <f>还贷!F16</f>
        <v>19.574999999999999</v>
      </c>
      <c r="G15" s="74">
        <f>还贷!G16</f>
        <v>19.574999999999999</v>
      </c>
      <c r="H15" s="74">
        <f>还贷!H16</f>
        <v>19.574999999999999</v>
      </c>
      <c r="I15" s="74">
        <f>还贷!I16</f>
        <v>19.574999999999999</v>
      </c>
      <c r="J15" s="74">
        <f>还贷!J16</f>
        <v>19.574999999999999</v>
      </c>
      <c r="K15" s="74">
        <f>还贷!K16</f>
        <v>19.574999999999999</v>
      </c>
      <c r="L15" s="74">
        <f>还贷!L16</f>
        <v>19.574999999999999</v>
      </c>
      <c r="M15" s="74">
        <f>还贷!M16</f>
        <v>19.574999999999999</v>
      </c>
      <c r="N15" s="74">
        <f>还贷!N16</f>
        <v>19.574999999999999</v>
      </c>
      <c r="O15" s="74">
        <f>还贷!O16</f>
        <v>19.574999999999999</v>
      </c>
      <c r="P15" s="74">
        <f>还贷!P16</f>
        <v>19.574999999999999</v>
      </c>
      <c r="Q15" s="74">
        <f>还贷!Q16</f>
        <v>19.574999999999999</v>
      </c>
      <c r="R15" s="74">
        <f>还贷!R16</f>
        <v>19.574999999999999</v>
      </c>
      <c r="S15" s="74">
        <f>还贷!S16</f>
        <v>19.574999999999999</v>
      </c>
      <c r="T15" s="74">
        <f>还贷!T16</f>
        <v>19.574999999999999</v>
      </c>
      <c r="U15" s="74">
        <f>还贷!U16</f>
        <v>19.574999999999999</v>
      </c>
      <c r="V15" s="74">
        <f>还贷!V16</f>
        <v>19.574999999999999</v>
      </c>
      <c r="W15" s="74">
        <f>还贷!W16</f>
        <v>19.574999999999999</v>
      </c>
      <c r="X15" s="74">
        <f>还贷!X16</f>
        <v>19.574999999999999</v>
      </c>
      <c r="Y15" s="74">
        <f>还贷!Y16</f>
        <v>19.574999999999999</v>
      </c>
      <c r="Z15" s="74">
        <f>还贷!Z16</f>
        <v>19.574999999999999</v>
      </c>
      <c r="AA15" s="74">
        <f>还贷!AA16</f>
        <v>19.574999999999999</v>
      </c>
      <c r="AB15" s="74">
        <f>还贷!AB16</f>
        <v>19.574999999999999</v>
      </c>
      <c r="AC15" s="74">
        <f>还贷!AC16</f>
        <v>19.574999999999999</v>
      </c>
      <c r="AD15" s="112">
        <f t="shared" si="2"/>
        <v>489.37499999999983</v>
      </c>
    </row>
    <row r="16" spans="2:32" ht="14.6" x14ac:dyDescent="0.35">
      <c r="B16" s="42">
        <v>8.3000000000000007</v>
      </c>
      <c r="C16" s="83" t="s">
        <v>74</v>
      </c>
      <c r="D16" s="84"/>
      <c r="E16" s="74">
        <f>还贷!E21</f>
        <v>0</v>
      </c>
      <c r="F16" s="74">
        <f>还贷!F21</f>
        <v>0</v>
      </c>
      <c r="G16" s="74">
        <f>还贷!G21</f>
        <v>0</v>
      </c>
      <c r="H16" s="74">
        <f>还贷!H21</f>
        <v>0</v>
      </c>
      <c r="I16" s="74">
        <f>还贷!I21</f>
        <v>0</v>
      </c>
      <c r="J16" s="74">
        <f>还贷!J21</f>
        <v>0</v>
      </c>
      <c r="K16" s="74">
        <f>还贷!K21</f>
        <v>0</v>
      </c>
      <c r="L16" s="74">
        <f>还贷!L21</f>
        <v>0</v>
      </c>
      <c r="M16" s="74">
        <f>还贷!M21</f>
        <v>0</v>
      </c>
      <c r="N16" s="74">
        <f>还贷!N21</f>
        <v>0</v>
      </c>
      <c r="O16" s="74">
        <f>还贷!O21</f>
        <v>0</v>
      </c>
      <c r="P16" s="74">
        <f>还贷!P21</f>
        <v>0</v>
      </c>
      <c r="Q16" s="74">
        <f>还贷!Q21</f>
        <v>0</v>
      </c>
      <c r="R16" s="74">
        <f>还贷!R21</f>
        <v>0</v>
      </c>
      <c r="S16" s="74">
        <f>还贷!S21</f>
        <v>0</v>
      </c>
      <c r="T16" s="74">
        <f>还贷!T21</f>
        <v>18.70758502130899</v>
      </c>
      <c r="U16" s="74">
        <f>还贷!U21</f>
        <v>0</v>
      </c>
      <c r="V16" s="74">
        <f>还贷!V21</f>
        <v>0</v>
      </c>
      <c r="W16" s="74">
        <f>还贷!W21</f>
        <v>0</v>
      </c>
      <c r="X16" s="74">
        <f>还贷!X21</f>
        <v>0</v>
      </c>
      <c r="Y16" s="74">
        <f>还贷!Y21</f>
        <v>0</v>
      </c>
      <c r="Z16" s="74">
        <f>还贷!Z21</f>
        <v>0</v>
      </c>
      <c r="AA16" s="74">
        <f>还贷!AA21</f>
        <v>0</v>
      </c>
      <c r="AB16" s="74">
        <f>还贷!AB21</f>
        <v>0</v>
      </c>
      <c r="AC16" s="74">
        <f>还贷!AC21</f>
        <v>0</v>
      </c>
      <c r="AD16" s="112">
        <f t="shared" si="2"/>
        <v>18.70758502130899</v>
      </c>
    </row>
    <row r="17" spans="2:32" ht="14.6" x14ac:dyDescent="0.35">
      <c r="B17" s="42">
        <v>8.4</v>
      </c>
      <c r="C17" s="142" t="s">
        <v>75</v>
      </c>
      <c r="D17" s="8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112">
        <f t="shared" si="2"/>
        <v>0</v>
      </c>
    </row>
    <row r="18" spans="2:32" ht="14.6" x14ac:dyDescent="0.35">
      <c r="B18" s="42">
        <v>9</v>
      </c>
      <c r="C18" s="47" t="s">
        <v>269</v>
      </c>
      <c r="D18" s="82"/>
      <c r="E18" s="74">
        <f>参数表!$C$56*参数表!$C$2</f>
        <v>375</v>
      </c>
      <c r="F18" s="74">
        <f>参数表!$C$56*参数表!$C$2</f>
        <v>375</v>
      </c>
      <c r="G18" s="74">
        <f>参数表!$C$56*参数表!$C$2</f>
        <v>375</v>
      </c>
      <c r="H18" s="74">
        <f>参数表!$C$56*参数表!$C$2</f>
        <v>375</v>
      </c>
      <c r="I18" s="74">
        <f>参数表!$C$56*参数表!$C$2</f>
        <v>375</v>
      </c>
      <c r="J18" s="74">
        <f>参数表!$C$56*参数表!$C$2</f>
        <v>375</v>
      </c>
      <c r="K18" s="74">
        <f>参数表!$C$56*参数表!$C$2</f>
        <v>375</v>
      </c>
      <c r="L18" s="74">
        <f>参数表!$C$56*参数表!$C$2</f>
        <v>375</v>
      </c>
      <c r="M18" s="74">
        <f>参数表!$C$56*参数表!$C$2</f>
        <v>375</v>
      </c>
      <c r="N18" s="74">
        <f>参数表!$C$56*参数表!$C$2</f>
        <v>375</v>
      </c>
      <c r="O18" s="74">
        <f>参数表!$C$56*参数表!$C$2</f>
        <v>375</v>
      </c>
      <c r="P18" s="74">
        <f>参数表!$C$56*参数表!$C$2</f>
        <v>375</v>
      </c>
      <c r="Q18" s="74">
        <f>参数表!$C$56*参数表!$C$2</f>
        <v>375</v>
      </c>
      <c r="R18" s="74">
        <f>参数表!$C$56*参数表!$C$2</f>
        <v>375</v>
      </c>
      <c r="S18" s="74">
        <f>参数表!$C$56*参数表!$C$2</f>
        <v>375</v>
      </c>
      <c r="T18" s="74">
        <f>参数表!$C$56*参数表!$C$2</f>
        <v>375</v>
      </c>
      <c r="U18" s="74">
        <f>参数表!$C$56*参数表!$C$2</f>
        <v>375</v>
      </c>
      <c r="V18" s="74">
        <f>参数表!$C$56*参数表!$C$2</f>
        <v>375</v>
      </c>
      <c r="W18" s="74">
        <f>参数表!$C$56*参数表!$C$2</f>
        <v>375</v>
      </c>
      <c r="X18" s="74">
        <f>参数表!$C$56*参数表!$C$2</f>
        <v>375</v>
      </c>
      <c r="Y18" s="74">
        <f>参数表!$C$56*参数表!$C$2</f>
        <v>375</v>
      </c>
      <c r="Z18" s="74">
        <f>参数表!$C$56*参数表!$C$2</f>
        <v>375</v>
      </c>
      <c r="AA18" s="74">
        <f>参数表!$C$56*参数表!$C$2</f>
        <v>375</v>
      </c>
      <c r="AB18" s="74">
        <f>参数表!$C$56*参数表!$C$2</f>
        <v>375</v>
      </c>
      <c r="AC18" s="74">
        <f>参数表!$C$56*参数表!$C$2</f>
        <v>375</v>
      </c>
      <c r="AD18" s="112">
        <f t="shared" si="2"/>
        <v>9375</v>
      </c>
    </row>
    <row r="19" spans="2:32" ht="14.6" x14ac:dyDescent="0.35">
      <c r="B19" s="71"/>
      <c r="C19" s="85" t="s">
        <v>76</v>
      </c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112">
        <f t="shared" si="2"/>
        <v>0</v>
      </c>
    </row>
    <row r="20" spans="2:32" ht="14.6" x14ac:dyDescent="0.35">
      <c r="B20" s="71"/>
      <c r="C20" s="85" t="s">
        <v>77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112">
        <f t="shared" si="2"/>
        <v>0</v>
      </c>
    </row>
    <row r="21" spans="2:32" ht="14.6" x14ac:dyDescent="0.35">
      <c r="B21" s="71"/>
      <c r="C21" s="144" t="s">
        <v>44</v>
      </c>
      <c r="D21" s="82"/>
      <c r="E21" s="74">
        <f>SUM(E6:E13)+E18</f>
        <v>5349.9050618379852</v>
      </c>
      <c r="F21" s="74">
        <f t="shared" ref="F21:AC21" si="5">SUM(F6:F13)+F18</f>
        <v>5369.5499740265077</v>
      </c>
      <c r="G21" s="74">
        <f t="shared" si="5"/>
        <v>5271.1205733987363</v>
      </c>
      <c r="H21" s="74">
        <f t="shared" si="5"/>
        <v>5262.066782810738</v>
      </c>
      <c r="I21" s="74">
        <f t="shared" si="5"/>
        <v>5145.7938818094235</v>
      </c>
      <c r="J21" s="74">
        <f t="shared" si="5"/>
        <v>5032.4084741150173</v>
      </c>
      <c r="K21" s="74">
        <f t="shared" si="5"/>
        <v>4905.1861679081667</v>
      </c>
      <c r="L21" s="74">
        <f t="shared" si="5"/>
        <v>4772.1044064161679</v>
      </c>
      <c r="M21" s="74">
        <f t="shared" si="5"/>
        <v>4743.6469534087555</v>
      </c>
      <c r="N21" s="74">
        <f t="shared" si="5"/>
        <v>4598.0162177269913</v>
      </c>
      <c r="O21" s="74">
        <f t="shared" si="5"/>
        <v>4445.6700347894966</v>
      </c>
      <c r="P21" s="74">
        <f t="shared" si="5"/>
        <v>4295.378312177003</v>
      </c>
      <c r="Q21" s="74">
        <f t="shared" si="5"/>
        <v>4128.6499093600414</v>
      </c>
      <c r="R21" s="74">
        <f t="shared" si="5"/>
        <v>3954.2250177655606</v>
      </c>
      <c r="S21" s="74">
        <f t="shared" si="5"/>
        <v>3985.4951095934271</v>
      </c>
      <c r="T21" s="74">
        <f t="shared" si="5"/>
        <v>3813.2945235478965</v>
      </c>
      <c r="U21" s="74">
        <f t="shared" si="5"/>
        <v>3793.3744233981924</v>
      </c>
      <c r="V21" s="74">
        <f t="shared" si="5"/>
        <v>3802.1750071754304</v>
      </c>
      <c r="W21" s="74">
        <f t="shared" si="5"/>
        <v>3800.9624920470355</v>
      </c>
      <c r="X21" s="74">
        <f t="shared" si="5"/>
        <v>3799.7499769186406</v>
      </c>
      <c r="Y21" s="74">
        <f t="shared" si="5"/>
        <v>1385.2334739796943</v>
      </c>
      <c r="Z21" s="74">
        <f t="shared" si="5"/>
        <v>1385.2334739796943</v>
      </c>
      <c r="AA21" s="74">
        <f t="shared" si="5"/>
        <v>1385.2334739796943</v>
      </c>
      <c r="AB21" s="74">
        <f t="shared" si="5"/>
        <v>1396.2729155231543</v>
      </c>
      <c r="AC21" s="74">
        <f t="shared" si="5"/>
        <v>1396.2729155231543</v>
      </c>
      <c r="AD21" s="112">
        <f t="shared" si="2"/>
        <v>97217.019553216596</v>
      </c>
    </row>
    <row r="22" spans="2:32" ht="18" customHeight="1" thickBot="1" x14ac:dyDescent="0.4">
      <c r="B22" s="86"/>
      <c r="C22" s="87" t="s">
        <v>78</v>
      </c>
      <c r="D22" s="88"/>
      <c r="E22" s="89">
        <f>E7+E8+E9+E10+E11+E18</f>
        <v>759.48128203801753</v>
      </c>
      <c r="F22" s="89">
        <f t="shared" ref="F22:AC22" si="6">F7+F8+F9+F10+F11+F18</f>
        <v>758.26876690962251</v>
      </c>
      <c r="G22" s="89">
        <f t="shared" si="6"/>
        <v>757.05625178122762</v>
      </c>
      <c r="H22" s="89">
        <f t="shared" si="6"/>
        <v>857.95027378082682</v>
      </c>
      <c r="I22" s="89">
        <f t="shared" si="6"/>
        <v>856.73775865243192</v>
      </c>
      <c r="J22" s="89">
        <f t="shared" si="6"/>
        <v>855.52524352403702</v>
      </c>
      <c r="K22" s="89">
        <f t="shared" si="6"/>
        <v>854.31272839564201</v>
      </c>
      <c r="L22" s="89">
        <f t="shared" si="6"/>
        <v>853.10021326724711</v>
      </c>
      <c r="M22" s="89">
        <f t="shared" si="6"/>
        <v>953.99423526684632</v>
      </c>
      <c r="N22" s="89">
        <f t="shared" si="6"/>
        <v>952.78172013845142</v>
      </c>
      <c r="O22" s="89">
        <f t="shared" si="6"/>
        <v>951.56920501005652</v>
      </c>
      <c r="P22" s="89">
        <f t="shared" si="6"/>
        <v>950.35668988166151</v>
      </c>
      <c r="Q22" s="89">
        <f t="shared" si="6"/>
        <v>949.14417475326661</v>
      </c>
      <c r="R22" s="89">
        <f t="shared" si="6"/>
        <v>947.9316596248716</v>
      </c>
      <c r="S22" s="89">
        <f t="shared" si="6"/>
        <v>1150.9322187524649</v>
      </c>
      <c r="T22" s="89">
        <f t="shared" si="6"/>
        <v>1149.71970362407</v>
      </c>
      <c r="U22" s="89">
        <f t="shared" si="6"/>
        <v>1148.5071884956751</v>
      </c>
      <c r="V22" s="89">
        <f t="shared" si="6"/>
        <v>1147.2946733672802</v>
      </c>
      <c r="W22" s="89">
        <f t="shared" si="6"/>
        <v>1146.0821582388853</v>
      </c>
      <c r="X22" s="89">
        <f t="shared" si="6"/>
        <v>1144.8696431104904</v>
      </c>
      <c r="Y22" s="89">
        <f t="shared" si="6"/>
        <v>1144.8696431104904</v>
      </c>
      <c r="Z22" s="89">
        <f t="shared" si="6"/>
        <v>1144.8696431104904</v>
      </c>
      <c r="AA22" s="89">
        <f t="shared" si="6"/>
        <v>1144.8696431104904</v>
      </c>
      <c r="AB22" s="89">
        <f t="shared" si="6"/>
        <v>1144.8696431104904</v>
      </c>
      <c r="AC22" s="89">
        <f t="shared" si="6"/>
        <v>1144.8696431104904</v>
      </c>
      <c r="AD22" s="112">
        <f t="shared" si="2"/>
        <v>24869.964004165526</v>
      </c>
    </row>
    <row r="23" spans="2:32" x14ac:dyDescent="0.3">
      <c r="H23" s="34"/>
    </row>
    <row r="24" spans="2:32" ht="14.6" thickBot="1" x14ac:dyDescent="0.35">
      <c r="B24" s="91"/>
      <c r="C24" s="92"/>
      <c r="D24" s="93"/>
      <c r="E24" s="93"/>
      <c r="F24" s="93"/>
      <c r="G24" s="93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145" t="s">
        <v>79</v>
      </c>
    </row>
    <row r="25" spans="2:32" x14ac:dyDescent="0.3">
      <c r="B25" s="532" t="s">
        <v>0</v>
      </c>
      <c r="C25" s="544" t="s">
        <v>7</v>
      </c>
      <c r="D25" s="545" t="s">
        <v>11</v>
      </c>
      <c r="E25" s="540" t="s">
        <v>34</v>
      </c>
      <c r="F25" s="541"/>
      <c r="G25" s="541"/>
      <c r="H25" s="541"/>
      <c r="I25" s="541"/>
      <c r="J25" s="541"/>
      <c r="K25" s="541"/>
      <c r="L25" s="541"/>
      <c r="M25" s="541"/>
      <c r="N25" s="541"/>
      <c r="O25" s="541"/>
      <c r="P25" s="541"/>
      <c r="Q25" s="541"/>
      <c r="R25" s="541"/>
      <c r="S25" s="541"/>
      <c r="T25" s="541"/>
      <c r="U25" s="541"/>
      <c r="V25" s="541"/>
      <c r="W25" s="541"/>
      <c r="X25" s="541"/>
      <c r="Y25" s="541"/>
      <c r="Z25" s="541"/>
      <c r="AA25" s="541"/>
      <c r="AB25" s="541"/>
      <c r="AC25" s="541"/>
      <c r="AD25" s="113"/>
    </row>
    <row r="26" spans="2:32" x14ac:dyDescent="0.3">
      <c r="B26" s="533"/>
      <c r="C26" s="535"/>
      <c r="D26" s="546"/>
      <c r="E26" s="43">
        <v>1</v>
      </c>
      <c r="F26" s="43">
        <f t="shared" ref="F26:AD26" si="7">F4</f>
        <v>2</v>
      </c>
      <c r="G26" s="43">
        <f t="shared" si="7"/>
        <v>3</v>
      </c>
      <c r="H26" s="43">
        <f t="shared" si="7"/>
        <v>4</v>
      </c>
      <c r="I26" s="43">
        <f t="shared" si="7"/>
        <v>5</v>
      </c>
      <c r="J26" s="43">
        <f t="shared" si="7"/>
        <v>6</v>
      </c>
      <c r="K26" s="43">
        <f t="shared" si="7"/>
        <v>7</v>
      </c>
      <c r="L26" s="43">
        <f t="shared" si="7"/>
        <v>8</v>
      </c>
      <c r="M26" s="43">
        <f t="shared" si="7"/>
        <v>9</v>
      </c>
      <c r="N26" s="43">
        <f t="shared" si="7"/>
        <v>10</v>
      </c>
      <c r="O26" s="43">
        <f t="shared" si="7"/>
        <v>11</v>
      </c>
      <c r="P26" s="43">
        <f t="shared" si="7"/>
        <v>12</v>
      </c>
      <c r="Q26" s="43">
        <f t="shared" si="7"/>
        <v>13</v>
      </c>
      <c r="R26" s="43">
        <f t="shared" si="7"/>
        <v>14</v>
      </c>
      <c r="S26" s="43">
        <f t="shared" si="7"/>
        <v>15</v>
      </c>
      <c r="T26" s="43">
        <f t="shared" si="7"/>
        <v>16</v>
      </c>
      <c r="U26" s="43">
        <f t="shared" si="7"/>
        <v>17</v>
      </c>
      <c r="V26" s="43">
        <f t="shared" si="7"/>
        <v>18</v>
      </c>
      <c r="W26" s="43">
        <f t="shared" si="7"/>
        <v>19</v>
      </c>
      <c r="X26" s="43">
        <f t="shared" si="7"/>
        <v>20</v>
      </c>
      <c r="Y26" s="43">
        <f t="shared" si="7"/>
        <v>21</v>
      </c>
      <c r="Z26" s="43">
        <f t="shared" si="7"/>
        <v>22</v>
      </c>
      <c r="AA26" s="43">
        <f t="shared" si="7"/>
        <v>23</v>
      </c>
      <c r="AB26" s="43">
        <f t="shared" si="7"/>
        <v>24</v>
      </c>
      <c r="AC26" s="43">
        <f t="shared" si="7"/>
        <v>25</v>
      </c>
      <c r="AD26" s="77">
        <f t="shared" si="7"/>
        <v>0</v>
      </c>
    </row>
    <row r="27" spans="2:32" x14ac:dyDescent="0.3">
      <c r="B27" s="95">
        <v>1</v>
      </c>
      <c r="C27" s="141" t="s">
        <v>80</v>
      </c>
      <c r="D27" s="97"/>
      <c r="E27" s="97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77"/>
    </row>
    <row r="28" spans="2:32" ht="28.3" x14ac:dyDescent="0.3">
      <c r="B28" s="95"/>
      <c r="C28" s="146" t="s">
        <v>81</v>
      </c>
      <c r="D28" s="98">
        <f>参数表!C25</f>
        <v>5470.1291416373442</v>
      </c>
      <c r="E28" s="97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77"/>
    </row>
    <row r="29" spans="2:32" x14ac:dyDescent="0.3">
      <c r="B29" s="95"/>
      <c r="C29" s="99" t="s">
        <v>82</v>
      </c>
      <c r="D29" s="98">
        <f>投资计划!C9-D28-E55</f>
        <v>51053.268563997066</v>
      </c>
      <c r="E29" s="100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77"/>
    </row>
    <row r="30" spans="2:32" x14ac:dyDescent="0.35">
      <c r="B30" s="95"/>
      <c r="C30" s="99" t="s">
        <v>83</v>
      </c>
      <c r="D30" s="97"/>
      <c r="E30" s="74">
        <f>IF(参数表!$C$48-E26+$E$26-1&gt;=0,$D$29*参数表!$C$47*参数表!D6,0)</f>
        <v>2303.7787439503677</v>
      </c>
      <c r="F30" s="74">
        <f>IF(参数表!$C$48-F26+$E$26-1&gt;=0,$D$29*参数表!$C$47*参数表!E6,0)</f>
        <v>2425.0302567898607</v>
      </c>
      <c r="G30" s="74">
        <f>IF(参数表!$C$48-G26+$E$26-1&gt;=0,$D$29*参数表!$C$47*参数表!F6,0)</f>
        <v>2425.0302567898607</v>
      </c>
      <c r="H30" s="74">
        <f>IF(参数表!$C$48-H26+$E$26-1&gt;=0,$D$29*参数表!$C$47*参数表!G6,0)</f>
        <v>2425.0302567898607</v>
      </c>
      <c r="I30" s="74">
        <f>IF(参数表!$C$48-I26+$E$26-1&gt;=0,$D$29*参数表!$C$47*参数表!H6,0)</f>
        <v>2425.0302567898607</v>
      </c>
      <c r="J30" s="74">
        <f>IF(参数表!$C$48-J26+$E$26-1&gt;=0,$D$29*参数表!$C$47*参数表!I6,0)</f>
        <v>2425.0302567898607</v>
      </c>
      <c r="K30" s="74">
        <f>IF(参数表!$C$48-K26+$E$26-1&gt;=0,$D$29*参数表!$C$47*参数表!J6,0)</f>
        <v>2425.0302567898607</v>
      </c>
      <c r="L30" s="74">
        <f>IF(参数表!$C$48-L26+$E$26-1&gt;=0,$D$29*参数表!$C$47*参数表!K6,0)</f>
        <v>2425.0302567898607</v>
      </c>
      <c r="M30" s="74">
        <f>IF(参数表!$C$48-M26+$E$26-1&gt;=0,$D$29*参数表!$C$47*参数表!L6,0)</f>
        <v>2425.0302567898607</v>
      </c>
      <c r="N30" s="74">
        <f>IF(参数表!$C$48-N26+$E$26-1&gt;=0,$D$29*参数表!$C$47*参数表!M6,0)</f>
        <v>2425.0302567898607</v>
      </c>
      <c r="O30" s="74">
        <f>IF(参数表!$C$48-O26+$E$26-1&gt;=0,$D$29*参数表!$C$47*参数表!N6,0)</f>
        <v>2425.0302567898607</v>
      </c>
      <c r="P30" s="74">
        <f>IF(参数表!$C$48-P26+$E$26-1&gt;=0,$D$29*参数表!$C$47*参数表!O6,0)</f>
        <v>2425.0302567898607</v>
      </c>
      <c r="Q30" s="74">
        <f>IF(参数表!$C$48-Q26+$E$26-1&gt;=0,$D$29*参数表!$C$47*参数表!P6,0)</f>
        <v>2425.0302567898607</v>
      </c>
      <c r="R30" s="74">
        <f>IF(参数表!$C$48-R26+$E$26-1&gt;=0,$D$29*参数表!$C$47*参数表!Q6,0)</f>
        <v>2425.0302567898607</v>
      </c>
      <c r="S30" s="74">
        <f>IF(参数表!$C$48-S26+$E$26-1&gt;=0,$D$29*参数表!$C$47*参数表!R6,0)</f>
        <v>2425.0302567898607</v>
      </c>
      <c r="T30" s="74">
        <f>IF(参数表!$C$48-T26+$E$26-1&gt;=0,$D$29*参数表!$C$47*参数表!S6,0)</f>
        <v>2425.0302567898607</v>
      </c>
      <c r="U30" s="74">
        <f>IF(参数表!$C$48-U26+$E$26-1&gt;=0,$D$29*参数表!$C$47*参数表!T6,0)</f>
        <v>2425.0302567898607</v>
      </c>
      <c r="V30" s="74">
        <f>IF(参数表!$C$48-V26+$E$26-1&gt;=0,$D$29*参数表!$C$47*参数表!U6,0)</f>
        <v>2425.0302567898607</v>
      </c>
      <c r="W30" s="74">
        <f>IF(参数表!$C$48-W26+$E$26-1&gt;=0,$D$29*参数表!$C$47*参数表!V6,0)</f>
        <v>2425.0302567898607</v>
      </c>
      <c r="X30" s="74">
        <f>IF(参数表!$C$48-X26+$E$26-1&gt;=0,$D$29*参数表!$C$47*参数表!W6,0)</f>
        <v>2425.0302567898607</v>
      </c>
      <c r="Y30" s="74">
        <f>IF(参数表!$C$48-Y26+$E$26-1&gt;=0,$D$29*参数表!$C$47*参数表!X6,0)</f>
        <v>0</v>
      </c>
      <c r="Z30" s="74">
        <f>IF(参数表!$C$48-Z26+$E$26-1&gt;=0,$D$29*参数表!$C$47*参数表!Y6,0)</f>
        <v>0</v>
      </c>
      <c r="AA30" s="74">
        <f>IF(参数表!$C$48-AA26+$E$26-1&gt;=0,$D$29*参数表!$C$47*参数表!Z6,0)</f>
        <v>0</v>
      </c>
      <c r="AB30" s="74">
        <f>IF(参数表!$C$48-AB26+$E$26-1&gt;=0,$D$29*参数表!$C$47*参数表!AA6,0)</f>
        <v>0</v>
      </c>
      <c r="AC30" s="74">
        <f>IF(参数表!$C$48-AC26+$E$26-1&gt;=0,$D$29*参数表!$C$47*参数表!AB6,0)</f>
        <v>0</v>
      </c>
      <c r="AD30" s="114"/>
    </row>
    <row r="31" spans="2:32" ht="14.6" thickBot="1" x14ac:dyDescent="0.4">
      <c r="B31" s="101"/>
      <c r="C31" s="102" t="s">
        <v>84</v>
      </c>
      <c r="D31" s="103"/>
      <c r="E31" s="89">
        <f>D29-E30</f>
        <v>48749.4898200467</v>
      </c>
      <c r="F31" s="89">
        <f t="shared" ref="F31:L31" si="8">E31-F30</f>
        <v>46324.459563256838</v>
      </c>
      <c r="G31" s="89">
        <f t="shared" si="8"/>
        <v>43899.429306466976</v>
      </c>
      <c r="H31" s="89">
        <f t="shared" si="8"/>
        <v>41474.399049677115</v>
      </c>
      <c r="I31" s="89">
        <f t="shared" si="8"/>
        <v>39049.368792887253</v>
      </c>
      <c r="J31" s="89">
        <f t="shared" si="8"/>
        <v>36624.338536097392</v>
      </c>
      <c r="K31" s="89">
        <f t="shared" si="8"/>
        <v>34199.30827930753</v>
      </c>
      <c r="L31" s="89">
        <f t="shared" si="8"/>
        <v>31774.278022517668</v>
      </c>
      <c r="M31" s="89">
        <f t="shared" ref="M31:Y31" si="9">L31-M30</f>
        <v>29349.247765727807</v>
      </c>
      <c r="N31" s="89">
        <f t="shared" si="9"/>
        <v>26924.217508937945</v>
      </c>
      <c r="O31" s="89">
        <f t="shared" si="9"/>
        <v>24499.187252148084</v>
      </c>
      <c r="P31" s="89">
        <f t="shared" si="9"/>
        <v>22074.156995358222</v>
      </c>
      <c r="Q31" s="89">
        <f t="shared" si="9"/>
        <v>19649.12673856836</v>
      </c>
      <c r="R31" s="89">
        <f t="shared" si="9"/>
        <v>17224.096481778499</v>
      </c>
      <c r="S31" s="89">
        <f t="shared" si="9"/>
        <v>14799.066224988637</v>
      </c>
      <c r="T31" s="89">
        <f t="shared" si="9"/>
        <v>12374.035968198776</v>
      </c>
      <c r="U31" s="89">
        <f t="shared" si="9"/>
        <v>9949.0057114089141</v>
      </c>
      <c r="V31" s="89">
        <f t="shared" si="9"/>
        <v>7523.9754546190534</v>
      </c>
      <c r="W31" s="89">
        <f t="shared" si="9"/>
        <v>5098.9451978291927</v>
      </c>
      <c r="X31" s="89">
        <f t="shared" si="9"/>
        <v>2673.914941039332</v>
      </c>
      <c r="Y31" s="89">
        <f t="shared" si="9"/>
        <v>2673.914941039332</v>
      </c>
      <c r="Z31" s="89">
        <f>Y31</f>
        <v>2673.914941039332</v>
      </c>
      <c r="AA31" s="89">
        <f>Z31</f>
        <v>2673.914941039332</v>
      </c>
      <c r="AB31" s="89">
        <f>AA31</f>
        <v>2673.914941039332</v>
      </c>
      <c r="AC31" s="89">
        <f>AB31</f>
        <v>2673.914941039332</v>
      </c>
      <c r="AD31" s="115"/>
    </row>
    <row r="32" spans="2:32" hidden="1" x14ac:dyDescent="0.3">
      <c r="B32" s="104"/>
      <c r="C32" s="105"/>
      <c r="D32" s="106"/>
      <c r="E32" s="106"/>
      <c r="F32" s="106"/>
      <c r="G32" s="106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16"/>
    </row>
    <row r="33" spans="2:32" hidden="1" x14ac:dyDescent="0.3">
      <c r="B33" s="95"/>
      <c r="C33" s="99"/>
      <c r="D33" s="97"/>
      <c r="E33" s="97"/>
      <c r="F33" s="97"/>
      <c r="G33" s="97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77"/>
    </row>
    <row r="34" spans="2:32" hidden="1" x14ac:dyDescent="0.3">
      <c r="B34" s="95"/>
      <c r="C34" s="99"/>
      <c r="D34" s="97"/>
      <c r="E34" s="97"/>
      <c r="F34" s="97"/>
      <c r="G34" s="97"/>
      <c r="H34" s="108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10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77"/>
    </row>
    <row r="35" spans="2:32" hidden="1" x14ac:dyDescent="0.3">
      <c r="B35" s="95"/>
      <c r="C35" s="99"/>
      <c r="D35" s="97"/>
      <c r="E35" s="97"/>
      <c r="F35" s="97"/>
      <c r="G35" s="97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77"/>
    </row>
    <row r="36" spans="2:32" hidden="1" x14ac:dyDescent="0.3">
      <c r="B36" s="95"/>
      <c r="C36" s="96"/>
      <c r="D36" s="97"/>
      <c r="E36" s="97"/>
      <c r="F36" s="97"/>
      <c r="G36" s="97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77"/>
    </row>
    <row r="37" spans="2:32" hidden="1" x14ac:dyDescent="0.3">
      <c r="B37" s="95"/>
      <c r="C37" s="99"/>
      <c r="D37" s="97"/>
      <c r="E37" s="97"/>
      <c r="F37" s="97"/>
      <c r="G37" s="97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77"/>
    </row>
    <row r="38" spans="2:32" hidden="1" x14ac:dyDescent="0.3">
      <c r="B38" s="95"/>
      <c r="C38" s="99"/>
      <c r="D38" s="97"/>
      <c r="E38" s="97"/>
      <c r="F38" s="97"/>
      <c r="G38" s="97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17"/>
    </row>
    <row r="39" spans="2:32" hidden="1" x14ac:dyDescent="0.3">
      <c r="B39" s="95"/>
      <c r="C39" s="99"/>
      <c r="D39" s="97"/>
      <c r="E39" s="97"/>
      <c r="F39" s="97"/>
      <c r="G39" s="97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17"/>
    </row>
    <row r="40" spans="2:32" ht="14.6" hidden="1" thickBot="1" x14ac:dyDescent="0.35">
      <c r="B40" s="101"/>
      <c r="C40" s="109"/>
      <c r="D40" s="103"/>
      <c r="E40" s="103"/>
      <c r="F40" s="103"/>
      <c r="G40" s="103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78"/>
    </row>
    <row r="41" spans="2:32" hidden="1" x14ac:dyDescent="0.3"/>
    <row r="42" spans="2:32" hidden="1" x14ac:dyDescent="0.3"/>
    <row r="43" spans="2:32" hidden="1" x14ac:dyDescent="0.3">
      <c r="B43" s="90"/>
    </row>
    <row r="45" spans="2:32" ht="20.149999999999999" x14ac:dyDescent="0.3">
      <c r="B45" s="542" t="s">
        <v>85</v>
      </c>
      <c r="C45" s="543"/>
      <c r="D45" s="543"/>
      <c r="E45" s="543"/>
      <c r="F45" s="543"/>
      <c r="G45" s="543"/>
      <c r="H45" s="543"/>
      <c r="I45" s="543"/>
      <c r="J45" s="543"/>
      <c r="K45" s="543"/>
      <c r="L45" s="543"/>
      <c r="M45" s="543"/>
      <c r="N45" s="543"/>
      <c r="O45" s="543"/>
      <c r="P45" s="543"/>
      <c r="Q45" s="543"/>
      <c r="R45" s="543"/>
      <c r="S45" s="543"/>
      <c r="T45" s="543"/>
      <c r="U45" s="543"/>
      <c r="V45" s="543"/>
      <c r="W45" s="543"/>
      <c r="X45" s="543"/>
      <c r="Y45" s="543"/>
      <c r="Z45" s="543"/>
      <c r="AA45" s="543"/>
      <c r="AB45" s="543"/>
      <c r="AC45" s="543"/>
      <c r="AD45" s="543"/>
      <c r="AE45" s="543"/>
      <c r="AF45" s="543"/>
    </row>
    <row r="46" spans="2:32" ht="14.6" thickBot="1" x14ac:dyDescent="0.35">
      <c r="B46" s="91"/>
      <c r="C46" s="92"/>
      <c r="D46" s="93"/>
      <c r="E46" s="93"/>
      <c r="F46" s="93"/>
      <c r="G46" s="93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145" t="s">
        <v>79</v>
      </c>
    </row>
    <row r="47" spans="2:32" x14ac:dyDescent="0.3">
      <c r="B47" s="532" t="s">
        <v>0</v>
      </c>
      <c r="C47" s="544" t="s">
        <v>7</v>
      </c>
      <c r="D47" s="545" t="s">
        <v>11</v>
      </c>
      <c r="E47" s="67" t="s">
        <v>278</v>
      </c>
      <c r="F47" s="540" t="s">
        <v>279</v>
      </c>
      <c r="G47" s="541"/>
      <c r="H47" s="541"/>
      <c r="I47" s="541"/>
      <c r="J47" s="541"/>
      <c r="K47" s="541"/>
      <c r="L47" s="541"/>
      <c r="M47" s="541"/>
      <c r="N47" s="541"/>
      <c r="O47" s="541"/>
      <c r="P47" s="541"/>
      <c r="Q47" s="541"/>
      <c r="R47" s="541"/>
      <c r="S47" s="541"/>
      <c r="T47" s="541"/>
      <c r="U47" s="541"/>
      <c r="V47" s="541"/>
      <c r="W47" s="541"/>
      <c r="X47" s="541"/>
      <c r="Y47" s="541"/>
      <c r="Z47" s="541"/>
      <c r="AA47" s="541"/>
      <c r="AB47" s="541"/>
      <c r="AC47" s="541"/>
      <c r="AD47" s="541"/>
      <c r="AE47" s="113"/>
    </row>
    <row r="48" spans="2:32" x14ac:dyDescent="0.3">
      <c r="B48" s="533"/>
      <c r="C48" s="535"/>
      <c r="D48" s="546"/>
      <c r="E48" s="43">
        <v>1</v>
      </c>
      <c r="F48" s="43">
        <v>1</v>
      </c>
      <c r="G48" s="43">
        <f t="shared" ref="G48:AD48" si="10">F26</f>
        <v>2</v>
      </c>
      <c r="H48" s="43">
        <f t="shared" si="10"/>
        <v>3</v>
      </c>
      <c r="I48" s="43">
        <f t="shared" si="10"/>
        <v>4</v>
      </c>
      <c r="J48" s="43">
        <f t="shared" si="10"/>
        <v>5</v>
      </c>
      <c r="K48" s="43">
        <f t="shared" si="10"/>
        <v>6</v>
      </c>
      <c r="L48" s="43">
        <f t="shared" si="10"/>
        <v>7</v>
      </c>
      <c r="M48" s="43">
        <f t="shared" si="10"/>
        <v>8</v>
      </c>
      <c r="N48" s="43">
        <f t="shared" si="10"/>
        <v>9</v>
      </c>
      <c r="O48" s="43">
        <f t="shared" si="10"/>
        <v>10</v>
      </c>
      <c r="P48" s="43">
        <f t="shared" si="10"/>
        <v>11</v>
      </c>
      <c r="Q48" s="43">
        <f t="shared" si="10"/>
        <v>12</v>
      </c>
      <c r="R48" s="43">
        <f t="shared" si="10"/>
        <v>13</v>
      </c>
      <c r="S48" s="43">
        <f t="shared" si="10"/>
        <v>14</v>
      </c>
      <c r="T48" s="43">
        <f t="shared" si="10"/>
        <v>15</v>
      </c>
      <c r="U48" s="43">
        <f t="shared" si="10"/>
        <v>16</v>
      </c>
      <c r="V48" s="43">
        <f t="shared" si="10"/>
        <v>17</v>
      </c>
      <c r="W48" s="43">
        <f t="shared" si="10"/>
        <v>18</v>
      </c>
      <c r="X48" s="43">
        <f t="shared" si="10"/>
        <v>19</v>
      </c>
      <c r="Y48" s="43">
        <f t="shared" si="10"/>
        <v>20</v>
      </c>
      <c r="Z48" s="43">
        <f t="shared" si="10"/>
        <v>21</v>
      </c>
      <c r="AA48" s="43">
        <f t="shared" si="10"/>
        <v>22</v>
      </c>
      <c r="AB48" s="43">
        <f t="shared" si="10"/>
        <v>23</v>
      </c>
      <c r="AC48" s="43">
        <f t="shared" si="10"/>
        <v>24</v>
      </c>
      <c r="AD48" s="43">
        <f t="shared" si="10"/>
        <v>25</v>
      </c>
      <c r="AE48" s="77"/>
    </row>
    <row r="49" spans="2:34" x14ac:dyDescent="0.3">
      <c r="B49" s="42">
        <v>1</v>
      </c>
      <c r="C49" s="141" t="s">
        <v>86</v>
      </c>
      <c r="D49" s="97"/>
      <c r="E49" s="97"/>
      <c r="F49" s="97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77"/>
    </row>
    <row r="50" spans="2:34" x14ac:dyDescent="0.3">
      <c r="B50" s="42"/>
      <c r="C50" s="99" t="s">
        <v>82</v>
      </c>
      <c r="D50" s="98">
        <f>D28</f>
        <v>5470.1291416373442</v>
      </c>
      <c r="E50" s="98"/>
      <c r="F50" s="100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77"/>
    </row>
    <row r="51" spans="2:34" x14ac:dyDescent="0.35">
      <c r="B51" s="42"/>
      <c r="C51" s="141" t="s">
        <v>87</v>
      </c>
      <c r="D51" s="97"/>
      <c r="E51" s="97"/>
      <c r="F51" s="74">
        <f>损益!G8*增值税率</f>
        <v>733.89553954646021</v>
      </c>
      <c r="G51" s="74">
        <f>IF(F52&lt;=损益!H8*增值税率,F52,损益!H8*增值税率)</f>
        <v>768.35780973451324</v>
      </c>
      <c r="H51" s="74">
        <f>IF(G52&lt;=损益!I8*增值税率,G52,损益!I8*增值税率)</f>
        <v>764.39720246784077</v>
      </c>
      <c r="I51" s="74">
        <f>IF(H52&lt;=损益!J8*增值税率,H52,损益!J8*增值税率)</f>
        <v>760.43659520116796</v>
      </c>
      <c r="J51" s="74">
        <f>IF(I52&lt;=损益!K8*增值税率,I52,损益!K8*增值税率)</f>
        <v>756.47598793449515</v>
      </c>
      <c r="K51" s="74">
        <f>IF(J52&lt;=损益!L8*增值税率,J52,损益!L8*增值税率)</f>
        <v>752.51538066782246</v>
      </c>
      <c r="L51" s="74">
        <f>IF(K52&lt;=损益!M8*增值税率,K52,损益!M8*增值税率)</f>
        <v>748.55477340114953</v>
      </c>
      <c r="M51" s="74">
        <f>IF(L52&lt;=损益!N8*增值税率,L52,损益!N8*增值税率)</f>
        <v>185.49585268389501</v>
      </c>
      <c r="N51" s="74">
        <f>IF(M52&lt;=损益!O8*增值税率,M52,损益!O8*增值税率)</f>
        <v>0</v>
      </c>
      <c r="O51" s="74">
        <f>IF(N52&lt;=损益!P8*增值税率,N52,损益!P8*增值税率)</f>
        <v>0</v>
      </c>
      <c r="P51" s="74">
        <f>IF(O52&lt;=损益!Q8*增值税率,O52,损益!Q8*增值税率)</f>
        <v>0</v>
      </c>
      <c r="Q51" s="74">
        <f>IF(P52&lt;=损益!R8*增值税率,P52,损益!R8*增值税率)</f>
        <v>0</v>
      </c>
      <c r="R51" s="74">
        <f>IF(Q52&lt;=损益!S8*增值税率,Q52,损益!S8*增值税率)</f>
        <v>0</v>
      </c>
      <c r="S51" s="74">
        <f>IF(R52&lt;=损益!T8*增值税率,R52,损益!T8*增值税率)</f>
        <v>0</v>
      </c>
      <c r="T51" s="74">
        <f>IF(S52&lt;=损益!U8*增值税率,S52,损益!U8*增值税率)</f>
        <v>0</v>
      </c>
      <c r="U51" s="74">
        <f>IF(T52&lt;=损益!V8*增值税率,T52,损益!V8*增值税率)</f>
        <v>0</v>
      </c>
      <c r="V51" s="74">
        <f>IF(U52&lt;=损益!W8*增值税率,U52,损益!W8*增值税率)</f>
        <v>0</v>
      </c>
      <c r="W51" s="74">
        <f>IF(V52&lt;=损益!X8*增值税率,V52,损益!X8*增值税率)</f>
        <v>0</v>
      </c>
      <c r="X51" s="74">
        <f>IF(W52&lt;=损益!Y8*增值税率,W52,损益!Y8*增值税率)</f>
        <v>0</v>
      </c>
      <c r="Y51" s="74">
        <f>IF(X52&lt;=损益!Z8*增值税率,X52,损益!Z8*增值税率)</f>
        <v>0</v>
      </c>
      <c r="Z51" s="74">
        <f>IF(Y52&lt;=损益!AA8*增值税率,Y52,损益!AA8*增值税率)</f>
        <v>0</v>
      </c>
      <c r="AA51" s="74">
        <f>IF(Z52&lt;=损益!AB8*增值税率,Z52,损益!AB8*增值税率)</f>
        <v>0</v>
      </c>
      <c r="AB51" s="74">
        <f>IF(AA52&lt;=损益!AC8*增值税率,AA52,损益!AC8*增值税率)</f>
        <v>0</v>
      </c>
      <c r="AC51" s="74">
        <f>IF(AB52&lt;=损益!AD8*增值税率,AB52,损益!AD8*增值税率)</f>
        <v>0</v>
      </c>
      <c r="AD51" s="74">
        <f>IF(AC52&lt;=损益!AE8*增值税率,AC52,损益!AE8*增值税率)</f>
        <v>0</v>
      </c>
      <c r="AE51" s="114"/>
    </row>
    <row r="52" spans="2:34" x14ac:dyDescent="0.35">
      <c r="B52" s="42"/>
      <c r="C52" s="99" t="s">
        <v>84</v>
      </c>
      <c r="D52" s="97"/>
      <c r="E52" s="97"/>
      <c r="F52" s="74">
        <f>D50-F51</f>
        <v>4736.2336020908842</v>
      </c>
      <c r="G52" s="74">
        <f t="shared" ref="G52:L52" si="11">F52-G51</f>
        <v>3967.8757923563708</v>
      </c>
      <c r="H52" s="74">
        <f t="shared" si="11"/>
        <v>3203.4785898885302</v>
      </c>
      <c r="I52" s="74">
        <f t="shared" si="11"/>
        <v>2443.0419946873621</v>
      </c>
      <c r="J52" s="74">
        <f t="shared" si="11"/>
        <v>1686.566006752867</v>
      </c>
      <c r="K52" s="74">
        <f t="shared" si="11"/>
        <v>934.05062608504454</v>
      </c>
      <c r="L52" s="110">
        <f t="shared" si="11"/>
        <v>185.49585268389501</v>
      </c>
      <c r="M52" s="74">
        <f t="shared" ref="M52:AD52" si="12">L52-M51</f>
        <v>0</v>
      </c>
      <c r="N52" s="110">
        <f t="shared" si="12"/>
        <v>0</v>
      </c>
      <c r="O52" s="74">
        <f t="shared" si="12"/>
        <v>0</v>
      </c>
      <c r="P52" s="110">
        <f t="shared" si="12"/>
        <v>0</v>
      </c>
      <c r="Q52" s="74">
        <f t="shared" si="12"/>
        <v>0</v>
      </c>
      <c r="R52" s="110">
        <f t="shared" si="12"/>
        <v>0</v>
      </c>
      <c r="S52" s="74">
        <f t="shared" si="12"/>
        <v>0</v>
      </c>
      <c r="T52" s="110">
        <f t="shared" si="12"/>
        <v>0</v>
      </c>
      <c r="U52" s="74">
        <f t="shared" si="12"/>
        <v>0</v>
      </c>
      <c r="V52" s="110">
        <f t="shared" si="12"/>
        <v>0</v>
      </c>
      <c r="W52" s="74">
        <f t="shared" si="12"/>
        <v>0</v>
      </c>
      <c r="X52" s="110">
        <f t="shared" si="12"/>
        <v>0</v>
      </c>
      <c r="Y52" s="74">
        <f t="shared" si="12"/>
        <v>0</v>
      </c>
      <c r="Z52" s="110">
        <f t="shared" si="12"/>
        <v>0</v>
      </c>
      <c r="AA52" s="74">
        <f t="shared" si="12"/>
        <v>0</v>
      </c>
      <c r="AB52" s="110">
        <f t="shared" si="12"/>
        <v>0</v>
      </c>
      <c r="AC52" s="74">
        <f t="shared" si="12"/>
        <v>0</v>
      </c>
      <c r="AD52" s="110">
        <f t="shared" si="12"/>
        <v>0</v>
      </c>
      <c r="AE52" s="114"/>
    </row>
    <row r="53" spans="2:34" x14ac:dyDescent="0.3">
      <c r="B53" s="42"/>
      <c r="C53" s="99"/>
      <c r="D53" s="97"/>
      <c r="E53" s="97"/>
      <c r="F53" s="97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77"/>
    </row>
    <row r="54" spans="2:34" x14ac:dyDescent="0.3">
      <c r="B54" s="42">
        <v>2</v>
      </c>
      <c r="C54" s="96" t="s">
        <v>292</v>
      </c>
      <c r="D54" s="100">
        <v>0</v>
      </c>
      <c r="E54" s="100"/>
      <c r="F54" s="97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77"/>
    </row>
    <row r="55" spans="2:34" x14ac:dyDescent="0.3">
      <c r="B55" s="95"/>
      <c r="C55" s="99" t="s">
        <v>82</v>
      </c>
      <c r="D55" s="100"/>
      <c r="E55" s="100">
        <f>参数表!C68</f>
        <v>313.82100000000003</v>
      </c>
      <c r="F55" s="100">
        <f>参数表!D68</f>
        <v>0</v>
      </c>
      <c r="G55" s="100">
        <f>参数表!E68</f>
        <v>321.66652500000004</v>
      </c>
      <c r="H55" s="100">
        <f>参数表!F68</f>
        <v>0</v>
      </c>
      <c r="I55" s="100">
        <f>参数表!G68</f>
        <v>329.51205000000004</v>
      </c>
      <c r="J55" s="100">
        <f>参数表!H68</f>
        <v>0</v>
      </c>
      <c r="K55" s="100">
        <f>参数表!I68</f>
        <v>345.98765250000002</v>
      </c>
      <c r="L55" s="100">
        <f>参数表!J68</f>
        <v>0</v>
      </c>
      <c r="M55" s="100">
        <f>参数表!K68</f>
        <v>354.63734381250003</v>
      </c>
      <c r="N55" s="100">
        <f>参数表!L68</f>
        <v>0</v>
      </c>
      <c r="O55" s="100">
        <f>参数表!M68</f>
        <v>363.28703512500005</v>
      </c>
      <c r="P55" s="100">
        <f>参数表!N68</f>
        <v>0</v>
      </c>
      <c r="Q55" s="100">
        <f>参数表!O68</f>
        <v>381.45138688125002</v>
      </c>
      <c r="R55" s="100">
        <f>参数表!P68</f>
        <v>0</v>
      </c>
      <c r="S55" s="100">
        <f>参数表!Q68</f>
        <v>390.9876715532813</v>
      </c>
      <c r="T55" s="100">
        <f>参数表!R68</f>
        <v>0</v>
      </c>
      <c r="U55" s="100">
        <f>参数表!S68</f>
        <v>400.52395622531259</v>
      </c>
      <c r="V55" s="100">
        <f>参数表!T68</f>
        <v>0</v>
      </c>
      <c r="W55" s="100">
        <f>参数表!U68</f>
        <v>420.55015403657814</v>
      </c>
      <c r="X55" s="100">
        <f>参数表!V68</f>
        <v>0</v>
      </c>
      <c r="Y55" s="100">
        <f>参数表!W68</f>
        <v>431.06390788749263</v>
      </c>
      <c r="Z55" s="100">
        <f>参数表!X68</f>
        <v>0</v>
      </c>
      <c r="AA55" s="100">
        <f>参数表!Y68</f>
        <v>441.57766173840713</v>
      </c>
      <c r="AB55" s="100">
        <f>参数表!Z68</f>
        <v>0</v>
      </c>
      <c r="AC55" s="100">
        <f>参数表!AA68</f>
        <v>463.65654482532744</v>
      </c>
      <c r="AD55" s="100">
        <f>参数表!AB68</f>
        <v>0</v>
      </c>
      <c r="AE55" s="77"/>
      <c r="AF55" s="61"/>
      <c r="AG55" s="61"/>
      <c r="AH55" s="61"/>
    </row>
    <row r="56" spans="2:34" x14ac:dyDescent="0.3">
      <c r="B56" s="95"/>
      <c r="C56" s="141" t="s">
        <v>87</v>
      </c>
      <c r="D56" s="97"/>
      <c r="E56" s="97"/>
      <c r="F56" s="100">
        <f>参数表!D69</f>
        <v>156.91050000000001</v>
      </c>
      <c r="G56" s="100">
        <f>参数表!E69</f>
        <v>156.91050000000001</v>
      </c>
      <c r="H56" s="100">
        <f>参数表!F69</f>
        <v>164.75602500000002</v>
      </c>
      <c r="I56" s="100">
        <f>参数表!G69</f>
        <v>164.75602500000002</v>
      </c>
      <c r="J56" s="100">
        <f>参数表!H69</f>
        <v>164.75602500000002</v>
      </c>
      <c r="K56" s="100">
        <f>参数表!I69</f>
        <v>172.99382625000001</v>
      </c>
      <c r="L56" s="100">
        <f>参数表!J69</f>
        <v>172.99382625000001</v>
      </c>
      <c r="M56" s="100">
        <f>参数表!K69</f>
        <v>172.99382625000001</v>
      </c>
      <c r="N56" s="100">
        <f>参数表!L69</f>
        <v>181.64351756250002</v>
      </c>
      <c r="O56" s="100">
        <f>参数表!M69</f>
        <v>181.64351756250002</v>
      </c>
      <c r="P56" s="100">
        <f>参数表!N69</f>
        <v>181.64351756250002</v>
      </c>
      <c r="Q56" s="100">
        <f>参数表!O69</f>
        <v>190.72569344062501</v>
      </c>
      <c r="R56" s="100">
        <f>参数表!P69</f>
        <v>190.72569344062501</v>
      </c>
      <c r="S56" s="100">
        <f>参数表!Q69</f>
        <v>190.72569344062501</v>
      </c>
      <c r="T56" s="100">
        <f>参数表!R69</f>
        <v>200.26197811265629</v>
      </c>
      <c r="U56" s="100">
        <f>参数表!S69</f>
        <v>200.26197811265629</v>
      </c>
      <c r="V56" s="100">
        <f>参数表!T69</f>
        <v>200.26197811265629</v>
      </c>
      <c r="W56" s="100">
        <f>参数表!U69</f>
        <v>210.27507701828907</v>
      </c>
      <c r="X56" s="100">
        <f>参数表!V69</f>
        <v>210.27507701828907</v>
      </c>
      <c r="Y56" s="100">
        <f>参数表!W69</f>
        <v>210.27507701828907</v>
      </c>
      <c r="Z56" s="100">
        <f>参数表!X69</f>
        <v>220.78883086920357</v>
      </c>
      <c r="AA56" s="100">
        <f>参数表!Y69</f>
        <v>220.78883086920357</v>
      </c>
      <c r="AB56" s="100">
        <f>参数表!Z69</f>
        <v>220.78883086920357</v>
      </c>
      <c r="AC56" s="100">
        <f>参数表!AA69</f>
        <v>231.82827241266372</v>
      </c>
      <c r="AD56" s="100">
        <f>参数表!AB69</f>
        <v>231.82827241266372</v>
      </c>
      <c r="AE56" s="77"/>
      <c r="AF56" s="97"/>
      <c r="AG56" s="97"/>
      <c r="AH56" s="97"/>
    </row>
    <row r="57" spans="2:34" x14ac:dyDescent="0.35">
      <c r="B57" s="95"/>
      <c r="C57" s="99" t="s">
        <v>84</v>
      </c>
      <c r="D57" s="97"/>
      <c r="E57" s="110">
        <f>-E56+E55</f>
        <v>313.82100000000003</v>
      </c>
      <c r="F57" s="100">
        <f t="shared" ref="F57:R57" si="13">E57-F56+F55</f>
        <v>156.91050000000001</v>
      </c>
      <c r="G57" s="100">
        <f t="shared" si="13"/>
        <v>321.66652500000004</v>
      </c>
      <c r="H57" s="100">
        <f t="shared" si="13"/>
        <v>156.91050000000001</v>
      </c>
      <c r="I57" s="100">
        <f t="shared" si="13"/>
        <v>321.66652500000004</v>
      </c>
      <c r="J57" s="100">
        <f t="shared" si="13"/>
        <v>156.91050000000001</v>
      </c>
      <c r="K57" s="100">
        <f t="shared" si="13"/>
        <v>329.90432625000005</v>
      </c>
      <c r="L57" s="100">
        <f t="shared" si="13"/>
        <v>156.91050000000004</v>
      </c>
      <c r="M57" s="100">
        <f t="shared" si="13"/>
        <v>338.55401756250006</v>
      </c>
      <c r="N57" s="100">
        <f t="shared" si="13"/>
        <v>156.91050000000004</v>
      </c>
      <c r="O57" s="100">
        <f t="shared" si="13"/>
        <v>338.55401756250006</v>
      </c>
      <c r="P57" s="100">
        <f t="shared" si="13"/>
        <v>156.91050000000004</v>
      </c>
      <c r="Q57" s="100">
        <f t="shared" si="13"/>
        <v>347.63619344062505</v>
      </c>
      <c r="R57" s="100">
        <f t="shared" si="13"/>
        <v>156.91050000000004</v>
      </c>
      <c r="S57" s="100">
        <f t="shared" ref="S57:AD57" si="14">R57-S56+S55</f>
        <v>357.17247811265634</v>
      </c>
      <c r="T57" s="100">
        <f t="shared" si="14"/>
        <v>156.91050000000004</v>
      </c>
      <c r="U57" s="100">
        <f t="shared" si="14"/>
        <v>357.17247811265634</v>
      </c>
      <c r="V57" s="100">
        <f t="shared" si="14"/>
        <v>156.91050000000004</v>
      </c>
      <c r="W57" s="100">
        <f t="shared" si="14"/>
        <v>367.18557701828911</v>
      </c>
      <c r="X57" s="100">
        <f t="shared" si="14"/>
        <v>156.91050000000004</v>
      </c>
      <c r="Y57" s="100">
        <f t="shared" si="14"/>
        <v>377.69933086920361</v>
      </c>
      <c r="Z57" s="100">
        <f t="shared" si="14"/>
        <v>156.91050000000004</v>
      </c>
      <c r="AA57" s="100">
        <f t="shared" si="14"/>
        <v>377.69933086920361</v>
      </c>
      <c r="AB57" s="100">
        <f t="shared" si="14"/>
        <v>156.91050000000004</v>
      </c>
      <c r="AC57" s="100">
        <f t="shared" si="14"/>
        <v>388.73877241266376</v>
      </c>
      <c r="AD57" s="100">
        <f t="shared" si="14"/>
        <v>156.91050000000004</v>
      </c>
      <c r="AE57" s="77"/>
      <c r="AF57" s="110"/>
      <c r="AG57" s="110"/>
      <c r="AH57" s="110"/>
    </row>
    <row r="58" spans="2:34" ht="14.6" thickBot="1" x14ac:dyDescent="0.35">
      <c r="B58" s="101"/>
      <c r="C58" s="109"/>
      <c r="D58" s="103"/>
      <c r="E58" s="103"/>
      <c r="F58" s="103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78"/>
    </row>
    <row r="59" spans="2:34" x14ac:dyDescent="0.3">
      <c r="H59" s="34"/>
    </row>
  </sheetData>
  <mergeCells count="15">
    <mergeCell ref="E25:AC25"/>
    <mergeCell ref="B45:AF45"/>
    <mergeCell ref="C25:C26"/>
    <mergeCell ref="C47:C48"/>
    <mergeCell ref="D25:D26"/>
    <mergeCell ref="D47:D48"/>
    <mergeCell ref="F47:AD47"/>
    <mergeCell ref="B25:B26"/>
    <mergeCell ref="B47:B48"/>
    <mergeCell ref="B1:AF1"/>
    <mergeCell ref="C2:D2"/>
    <mergeCell ref="E3:AC3"/>
    <mergeCell ref="AD3:AD4"/>
    <mergeCell ref="B3:B4"/>
    <mergeCell ref="C3:C4"/>
  </mergeCells>
  <phoneticPr fontId="61" type="noConversion"/>
  <pageMargins left="0.16944444444444445" right="0.16944444444444445" top="0.80972222222222223" bottom="0.73958333333333337" header="0.5" footer="0.5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7760-FB0A-4D4C-A18B-EBB3C50E4A61}">
  <dimension ref="B1:AE98"/>
  <sheetViews>
    <sheetView tabSelected="1" zoomScale="115" zoomScaleNormal="115" zoomScaleSheetLayoutView="100" workbookViewId="0">
      <pane xSplit="3" ySplit="4" topLeftCell="D23" activePane="bottomRight" state="frozen"/>
      <selection pane="topRight"/>
      <selection pane="bottomLeft"/>
      <selection pane="bottomRight" activeCell="I27" sqref="I27"/>
    </sheetView>
  </sheetViews>
  <sheetFormatPr defaultColWidth="9" defaultRowHeight="14.15" x14ac:dyDescent="0.3"/>
  <cols>
    <col min="1" max="1" width="3.0703125" style="184" customWidth="1"/>
    <col min="2" max="2" width="5.2109375" style="184" customWidth="1"/>
    <col min="3" max="3" width="18.0703125" style="294" customWidth="1"/>
    <col min="4" max="4" width="8.5" style="294" customWidth="1"/>
    <col min="5" max="5" width="8.0703125" style="184" customWidth="1"/>
    <col min="6" max="6" width="7.5703125" style="184" customWidth="1"/>
    <col min="7" max="8" width="8.0703125" style="184" customWidth="1"/>
    <col min="9" max="9" width="9.0703125" style="184" customWidth="1"/>
    <col min="10" max="11" width="8.0703125" style="184" customWidth="1"/>
    <col min="12" max="12" width="9.0703125" style="184" customWidth="1"/>
    <col min="13" max="16" width="8.0703125" style="184" customWidth="1"/>
    <col min="17" max="17" width="8.5" style="184" customWidth="1"/>
    <col min="18" max="24" width="8.0703125" style="184" customWidth="1"/>
    <col min="25" max="25" width="7.5" style="184" customWidth="1"/>
    <col min="26" max="26" width="8" style="184" customWidth="1"/>
    <col min="27" max="29" width="7.5" style="184" customWidth="1"/>
    <col min="30" max="30" width="8.0703125" style="184" customWidth="1"/>
    <col min="31" max="16384" width="9" style="184"/>
  </cols>
  <sheetData>
    <row r="1" spans="2:30" ht="30" customHeight="1" x14ac:dyDescent="0.3">
      <c r="B1" s="548" t="s">
        <v>88</v>
      </c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548"/>
      <c r="AB1" s="548"/>
      <c r="AC1" s="548"/>
      <c r="AD1" s="548"/>
    </row>
    <row r="2" spans="2:30" ht="14.6" thickBot="1" x14ac:dyDescent="0.35"/>
    <row r="3" spans="2:30" ht="17.149999999999999" customHeight="1" x14ac:dyDescent="0.3">
      <c r="B3" s="558" t="s">
        <v>0</v>
      </c>
      <c r="C3" s="551" t="s">
        <v>7</v>
      </c>
      <c r="D3" s="295" t="s">
        <v>278</v>
      </c>
      <c r="E3" s="560" t="s">
        <v>34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55"/>
      <c r="AC3" s="555"/>
      <c r="AD3" s="549" t="s">
        <v>11</v>
      </c>
    </row>
    <row r="4" spans="2:30" ht="17.149999999999999" customHeight="1" x14ac:dyDescent="0.3">
      <c r="B4" s="559"/>
      <c r="C4" s="552"/>
      <c r="D4" s="267">
        <f>成本!D4</f>
        <v>1</v>
      </c>
      <c r="E4" s="267">
        <v>1</v>
      </c>
      <c r="F4" s="267">
        <v>2</v>
      </c>
      <c r="G4" s="267">
        <v>3</v>
      </c>
      <c r="H4" s="267">
        <v>4</v>
      </c>
      <c r="I4" s="267">
        <v>5</v>
      </c>
      <c r="J4" s="267">
        <v>6</v>
      </c>
      <c r="K4" s="267">
        <v>7</v>
      </c>
      <c r="L4" s="267">
        <v>8</v>
      </c>
      <c r="M4" s="267">
        <v>9</v>
      </c>
      <c r="N4" s="267">
        <v>10</v>
      </c>
      <c r="O4" s="267">
        <v>11</v>
      </c>
      <c r="P4" s="267">
        <v>12</v>
      </c>
      <c r="Q4" s="267">
        <v>13</v>
      </c>
      <c r="R4" s="267">
        <v>14</v>
      </c>
      <c r="S4" s="267">
        <v>15</v>
      </c>
      <c r="T4" s="267">
        <v>16</v>
      </c>
      <c r="U4" s="267">
        <v>17</v>
      </c>
      <c r="V4" s="267">
        <v>18</v>
      </c>
      <c r="W4" s="267">
        <v>19</v>
      </c>
      <c r="X4" s="267">
        <v>20</v>
      </c>
      <c r="Y4" s="267">
        <v>21</v>
      </c>
      <c r="Z4" s="267">
        <v>22</v>
      </c>
      <c r="AA4" s="267">
        <v>23</v>
      </c>
      <c r="AB4" s="267">
        <v>24</v>
      </c>
      <c r="AC4" s="267">
        <v>25</v>
      </c>
      <c r="AD4" s="550"/>
    </row>
    <row r="5" spans="2:30" ht="17.149999999999999" customHeight="1" x14ac:dyDescent="0.35">
      <c r="B5" s="185">
        <v>1</v>
      </c>
      <c r="C5" s="296" t="s">
        <v>89</v>
      </c>
      <c r="D5" s="296"/>
      <c r="E5" s="264">
        <f>SUM(E6:E10)</f>
        <v>6379.2458437499999</v>
      </c>
      <c r="F5" s="264">
        <f t="shared" ref="F5:AC5" si="0">SUM(F6:F10)</f>
        <v>6678.8024999999998</v>
      </c>
      <c r="G5" s="264">
        <f t="shared" si="0"/>
        <v>6644.375682989692</v>
      </c>
      <c r="H5" s="264">
        <f t="shared" si="0"/>
        <v>6609.9488659793824</v>
      </c>
      <c r="I5" s="264">
        <f t="shared" si="0"/>
        <v>6575.5220489690728</v>
      </c>
      <c r="J5" s="264">
        <f t="shared" si="0"/>
        <v>6541.0952319587641</v>
      </c>
      <c r="K5" s="264">
        <f t="shared" si="0"/>
        <v>6506.6684149484536</v>
      </c>
      <c r="L5" s="264">
        <f t="shared" si="0"/>
        <v>6472.2415979381449</v>
      </c>
      <c r="M5" s="264">
        <f t="shared" si="0"/>
        <v>6437.8147809278362</v>
      </c>
      <c r="N5" s="264">
        <f t="shared" si="0"/>
        <v>6403.3879639175266</v>
      </c>
      <c r="O5" s="264">
        <f t="shared" si="0"/>
        <v>6368.9611469072179</v>
      </c>
      <c r="P5" s="264">
        <f t="shared" si="0"/>
        <v>6334.5343298969092</v>
      </c>
      <c r="Q5" s="264">
        <f t="shared" si="0"/>
        <v>6300.1075128865987</v>
      </c>
      <c r="R5" s="264">
        <f t="shared" si="0"/>
        <v>6265.6806958762891</v>
      </c>
      <c r="S5" s="264">
        <f t="shared" si="0"/>
        <v>6231.2538788659804</v>
      </c>
      <c r="T5" s="264">
        <f t="shared" si="0"/>
        <v>6196.8270618556717</v>
      </c>
      <c r="U5" s="264">
        <f t="shared" si="0"/>
        <v>6162.400244845363</v>
      </c>
      <c r="V5" s="264">
        <f t="shared" si="0"/>
        <v>6127.9734278350534</v>
      </c>
      <c r="W5" s="264">
        <f t="shared" si="0"/>
        <v>6093.5466108247429</v>
      </c>
      <c r="X5" s="264">
        <f t="shared" si="0"/>
        <v>6059.1197938144333</v>
      </c>
      <c r="Y5" s="264">
        <f t="shared" si="0"/>
        <v>6024.6929768041246</v>
      </c>
      <c r="Z5" s="264">
        <f t="shared" si="0"/>
        <v>5990.2661597938159</v>
      </c>
      <c r="AA5" s="264">
        <f t="shared" si="0"/>
        <v>5955.8393427835063</v>
      </c>
      <c r="AB5" s="264">
        <f t="shared" si="0"/>
        <v>5921.4125257731957</v>
      </c>
      <c r="AC5" s="264">
        <f t="shared" si="0"/>
        <v>9010.900649802219</v>
      </c>
      <c r="AD5" s="188">
        <f t="shared" ref="AD5:AD13" si="1">SUM(E5:AC5)</f>
        <v>160292.61928994401</v>
      </c>
    </row>
    <row r="6" spans="2:30" ht="17.149999999999999" customHeight="1" x14ac:dyDescent="0.35">
      <c r="B6" s="274" t="s">
        <v>90</v>
      </c>
      <c r="C6" s="296" t="s">
        <v>39</v>
      </c>
      <c r="D6" s="296"/>
      <c r="E6" s="264">
        <f>损益!G8-财务计划!E10</f>
        <v>5645.35030420354</v>
      </c>
      <c r="F6" s="264">
        <f>损益!H8-财务计划!F10</f>
        <v>5910.4446902654863</v>
      </c>
      <c r="G6" s="264">
        <f>损益!I8-财务计划!G10</f>
        <v>5879.9784805218515</v>
      </c>
      <c r="H6" s="264">
        <f>损益!J8-财务计划!H10</f>
        <v>5849.5122707782148</v>
      </c>
      <c r="I6" s="264">
        <f>损益!K8-财务计划!I10</f>
        <v>5819.0460610345781</v>
      </c>
      <c r="J6" s="264">
        <f>损益!L8-财务计划!J10</f>
        <v>5788.5798512909414</v>
      </c>
      <c r="K6" s="264">
        <f>损益!M8-财务计划!K10</f>
        <v>5758.1136415473038</v>
      </c>
      <c r="L6" s="264">
        <f>损益!N8-财务计划!L10</f>
        <v>5727.647431803668</v>
      </c>
      <c r="M6" s="264">
        <f>损益!O8-财务计划!M10</f>
        <v>5697.1812220600323</v>
      </c>
      <c r="N6" s="264">
        <f>损益!P8-财务计划!N10</f>
        <v>5666.7150123163956</v>
      </c>
      <c r="O6" s="264">
        <f>损益!Q8-财务计划!O10</f>
        <v>5636.2488025727589</v>
      </c>
      <c r="P6" s="264">
        <f>损益!R8-财务计划!P10</f>
        <v>5605.7825928291231</v>
      </c>
      <c r="Q6" s="264">
        <f>损益!S8-财务计划!Q10</f>
        <v>5575.3163830854855</v>
      </c>
      <c r="R6" s="264">
        <f>损益!T8-财务计划!R10</f>
        <v>5544.8501733418489</v>
      </c>
      <c r="S6" s="264">
        <f>损益!U8-财务计划!S10</f>
        <v>5514.3839635982131</v>
      </c>
      <c r="T6" s="264">
        <f>损益!V8-财务计划!T10</f>
        <v>5483.9177538545764</v>
      </c>
      <c r="U6" s="264">
        <f>损益!W8-财务计划!U10</f>
        <v>5453.4515441109406</v>
      </c>
      <c r="V6" s="264">
        <f>损益!X8-财务计划!V10</f>
        <v>5422.9853343673039</v>
      </c>
      <c r="W6" s="264">
        <f>损益!Y8-财务计划!W10</f>
        <v>5392.5191246236664</v>
      </c>
      <c r="X6" s="264">
        <f>损益!Z8-财务计划!X10</f>
        <v>5362.0529148800297</v>
      </c>
      <c r="Y6" s="264">
        <f>损益!AA8-财务计划!Y10</f>
        <v>5331.586705136393</v>
      </c>
      <c r="Z6" s="264">
        <f>损益!AB8-财务计划!Z10</f>
        <v>5301.1204953927572</v>
      </c>
      <c r="AA6" s="264">
        <f>损益!AC8-财务计划!AA10</f>
        <v>5270.6542856491205</v>
      </c>
      <c r="AB6" s="264">
        <f>损益!AD8-财务计划!AB10</f>
        <v>5240.1880759054829</v>
      </c>
      <c r="AC6" s="264">
        <f>损益!AE8-财务计划!AC10</f>
        <v>5209.7218661618472</v>
      </c>
      <c r="AD6" s="188">
        <f t="shared" si="1"/>
        <v>139087.34898133154</v>
      </c>
    </row>
    <row r="7" spans="2:30" ht="17.149999999999999" customHeight="1" x14ac:dyDescent="0.35">
      <c r="B7" s="274" t="s">
        <v>92</v>
      </c>
      <c r="C7" s="296" t="s">
        <v>284</v>
      </c>
      <c r="D7" s="296"/>
      <c r="E7" s="264">
        <f>损益!G12</f>
        <v>0</v>
      </c>
      <c r="F7" s="264">
        <f>损益!H12</f>
        <v>0</v>
      </c>
      <c r="G7" s="264">
        <f>损益!I12</f>
        <v>0</v>
      </c>
      <c r="H7" s="264">
        <f>损益!J12</f>
        <v>0</v>
      </c>
      <c r="I7" s="264">
        <f>损益!K12</f>
        <v>0</v>
      </c>
      <c r="J7" s="264">
        <f>损益!L12</f>
        <v>0</v>
      </c>
      <c r="K7" s="264">
        <f>损益!M12</f>
        <v>0</v>
      </c>
      <c r="L7" s="264">
        <f>损益!N12</f>
        <v>0</v>
      </c>
      <c r="M7" s="264">
        <f>损益!O12</f>
        <v>0</v>
      </c>
      <c r="N7" s="264">
        <f>损益!P12</f>
        <v>0</v>
      </c>
      <c r="O7" s="264">
        <f>损益!Q12</f>
        <v>0</v>
      </c>
      <c r="P7" s="264">
        <f>损益!R12</f>
        <v>0</v>
      </c>
      <c r="Q7" s="264">
        <f>损益!S12</f>
        <v>0</v>
      </c>
      <c r="R7" s="264">
        <f>损益!T12</f>
        <v>0</v>
      </c>
      <c r="S7" s="264">
        <f>损益!U12</f>
        <v>0</v>
      </c>
      <c r="T7" s="264">
        <f>损益!V12</f>
        <v>0</v>
      </c>
      <c r="U7" s="264">
        <f>损益!W12</f>
        <v>0</v>
      </c>
      <c r="V7" s="264">
        <f>损益!X12</f>
        <v>0</v>
      </c>
      <c r="W7" s="264">
        <f>损益!Y12</f>
        <v>0</v>
      </c>
      <c r="X7" s="264">
        <f>损益!Z12</f>
        <v>0</v>
      </c>
      <c r="Y7" s="264">
        <f>损益!AA12</f>
        <v>0</v>
      </c>
      <c r="Z7" s="264">
        <f>损益!AB12</f>
        <v>0</v>
      </c>
      <c r="AA7" s="264">
        <f>损益!AC12</f>
        <v>0</v>
      </c>
      <c r="AB7" s="264">
        <f>损益!AD12</f>
        <v>0</v>
      </c>
      <c r="AC7" s="264">
        <f>损益!AE12</f>
        <v>0</v>
      </c>
      <c r="AD7" s="188">
        <f t="shared" si="1"/>
        <v>0</v>
      </c>
    </row>
    <row r="8" spans="2:30" ht="17.149999999999999" customHeight="1" x14ac:dyDescent="0.35">
      <c r="B8" s="274" t="s">
        <v>94</v>
      </c>
      <c r="C8" s="296" t="s">
        <v>91</v>
      </c>
      <c r="D8" s="296"/>
      <c r="E8" s="264">
        <f>损益!G37</f>
        <v>733.89553954646021</v>
      </c>
      <c r="F8" s="264">
        <f>损益!H37</f>
        <v>768.35780973451324</v>
      </c>
      <c r="G8" s="264">
        <f>损益!I37</f>
        <v>764.39720246784077</v>
      </c>
      <c r="H8" s="264">
        <f>损益!J37</f>
        <v>760.43659520116796</v>
      </c>
      <c r="I8" s="264">
        <f>损益!K37</f>
        <v>756.47598793449515</v>
      </c>
      <c r="J8" s="264">
        <f>损益!L37</f>
        <v>752.51538066782246</v>
      </c>
      <c r="K8" s="264">
        <f>损益!M37</f>
        <v>748.55477340114953</v>
      </c>
      <c r="L8" s="264">
        <f>损益!N37</f>
        <v>744.59416613447684</v>
      </c>
      <c r="M8" s="264">
        <f>损益!O37</f>
        <v>740.63355886780425</v>
      </c>
      <c r="N8" s="264">
        <f>损益!P37</f>
        <v>736.67295160113144</v>
      </c>
      <c r="O8" s="264">
        <f>损益!Q37</f>
        <v>732.71234433445863</v>
      </c>
      <c r="P8" s="264">
        <f>损益!R37</f>
        <v>728.75173706778605</v>
      </c>
      <c r="Q8" s="264">
        <f>损益!S37</f>
        <v>724.79112980111313</v>
      </c>
      <c r="R8" s="264">
        <f>损益!T37</f>
        <v>720.83052253444032</v>
      </c>
      <c r="S8" s="264">
        <f>损益!U37</f>
        <v>716.86991526776774</v>
      </c>
      <c r="T8" s="264">
        <f>损益!V37</f>
        <v>712.90930800109493</v>
      </c>
      <c r="U8" s="264">
        <f>损益!W37</f>
        <v>708.94870073442235</v>
      </c>
      <c r="V8" s="264">
        <f>损益!X37</f>
        <v>704.98809346774954</v>
      </c>
      <c r="W8" s="264">
        <f>损益!Y37</f>
        <v>701.02748620107661</v>
      </c>
      <c r="X8" s="264">
        <f>损益!Z37</f>
        <v>697.06687893440392</v>
      </c>
      <c r="Y8" s="264">
        <f>损益!AA37</f>
        <v>693.10627166773111</v>
      </c>
      <c r="Z8" s="264">
        <f>损益!AB37</f>
        <v>689.14566440105841</v>
      </c>
      <c r="AA8" s="264">
        <f>损益!AC37</f>
        <v>685.18505713438572</v>
      </c>
      <c r="AB8" s="264">
        <f>损益!AD37</f>
        <v>681.22444986771279</v>
      </c>
      <c r="AC8" s="264">
        <f>损益!AE37</f>
        <v>677.26384260104021</v>
      </c>
      <c r="AD8" s="188">
        <f t="shared" si="1"/>
        <v>18081.355367573105</v>
      </c>
    </row>
    <row r="9" spans="2:30" ht="17.149999999999999" customHeight="1" x14ac:dyDescent="0.35">
      <c r="B9" s="274" t="s">
        <v>151</v>
      </c>
      <c r="C9" s="296" t="s">
        <v>93</v>
      </c>
      <c r="D9" s="296"/>
      <c r="E9" s="264">
        <v>0</v>
      </c>
      <c r="F9" s="264">
        <v>0</v>
      </c>
      <c r="G9" s="264">
        <v>0</v>
      </c>
      <c r="H9" s="264">
        <v>0</v>
      </c>
      <c r="I9" s="264">
        <v>0</v>
      </c>
      <c r="J9" s="264">
        <v>0</v>
      </c>
      <c r="K9" s="264">
        <v>0</v>
      </c>
      <c r="L9" s="264">
        <v>0</v>
      </c>
      <c r="M9" s="264">
        <v>0</v>
      </c>
      <c r="N9" s="264">
        <v>0</v>
      </c>
      <c r="O9" s="264">
        <v>0</v>
      </c>
      <c r="P9" s="264">
        <v>0</v>
      </c>
      <c r="Q9" s="264">
        <v>0</v>
      </c>
      <c r="R9" s="264">
        <v>0</v>
      </c>
      <c r="S9" s="264">
        <v>0</v>
      </c>
      <c r="T9" s="264">
        <v>0</v>
      </c>
      <c r="U9" s="264">
        <v>0</v>
      </c>
      <c r="V9" s="264">
        <v>0</v>
      </c>
      <c r="W9" s="264">
        <v>0</v>
      </c>
      <c r="X9" s="264"/>
      <c r="Y9" s="184">
        <f>IF(参数表!$C$76=20,成本!Y31,0)</f>
        <v>0</v>
      </c>
      <c r="Z9" s="297"/>
      <c r="AA9" s="297"/>
      <c r="AB9" s="297"/>
      <c r="AC9" s="297">
        <f>IF(参数表!$C$76=25,成本!Y31,0)</f>
        <v>2673.914941039332</v>
      </c>
      <c r="AD9" s="188">
        <f t="shared" si="1"/>
        <v>2673.914941039332</v>
      </c>
    </row>
    <row r="10" spans="2:30" ht="17.149999999999999" customHeight="1" x14ac:dyDescent="0.35">
      <c r="B10" s="274" t="s">
        <v>286</v>
      </c>
      <c r="C10" s="296" t="s">
        <v>95</v>
      </c>
      <c r="D10" s="296"/>
      <c r="E10" s="264">
        <v>0</v>
      </c>
      <c r="F10" s="264">
        <v>0</v>
      </c>
      <c r="G10" s="264">
        <v>0</v>
      </c>
      <c r="H10" s="264">
        <v>0</v>
      </c>
      <c r="I10" s="264">
        <v>0</v>
      </c>
      <c r="J10" s="264">
        <v>0</v>
      </c>
      <c r="K10" s="264">
        <v>0</v>
      </c>
      <c r="L10" s="264">
        <v>0</v>
      </c>
      <c r="M10" s="264">
        <v>0</v>
      </c>
      <c r="N10" s="264">
        <v>0</v>
      </c>
      <c r="O10" s="264">
        <v>0</v>
      </c>
      <c r="P10" s="264">
        <v>0</v>
      </c>
      <c r="Q10" s="264">
        <v>0</v>
      </c>
      <c r="R10" s="264">
        <v>0</v>
      </c>
      <c r="S10" s="264">
        <v>0</v>
      </c>
      <c r="T10" s="264">
        <v>0</v>
      </c>
      <c r="U10" s="264">
        <v>0</v>
      </c>
      <c r="V10" s="264">
        <v>0</v>
      </c>
      <c r="W10" s="264">
        <v>0</v>
      </c>
      <c r="X10" s="264"/>
      <c r="Y10" s="184">
        <f>IF(参数表!$C$76=20,参数表!C29,0)</f>
        <v>0</v>
      </c>
      <c r="Z10" s="297"/>
      <c r="AA10" s="297"/>
      <c r="AB10" s="297"/>
      <c r="AC10" s="297">
        <f>IF(参数表!$C$76=25,参数表!C29,0)</f>
        <v>450</v>
      </c>
      <c r="AD10" s="188">
        <f t="shared" si="1"/>
        <v>450</v>
      </c>
    </row>
    <row r="11" spans="2:30" ht="17.149999999999999" customHeight="1" x14ac:dyDescent="0.35">
      <c r="B11" s="185"/>
      <c r="C11" s="298"/>
      <c r="D11" s="298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97"/>
      <c r="AA11" s="297"/>
      <c r="AB11" s="297"/>
      <c r="AC11" s="297"/>
      <c r="AD11" s="188">
        <f t="shared" si="1"/>
        <v>0</v>
      </c>
    </row>
    <row r="12" spans="2:30" ht="17.149999999999999" customHeight="1" x14ac:dyDescent="0.35">
      <c r="B12" s="185">
        <v>2</v>
      </c>
      <c r="C12" s="296" t="s">
        <v>96</v>
      </c>
      <c r="D12" s="264">
        <f t="shared" ref="D12:AC12" si="2">SUM(D13:D19)</f>
        <v>56765.741000000009</v>
      </c>
      <c r="E12" s="264">
        <f t="shared" si="2"/>
        <v>759.48128203801753</v>
      </c>
      <c r="F12" s="264">
        <f t="shared" si="2"/>
        <v>1079.9352919096225</v>
      </c>
      <c r="G12" s="264">
        <f t="shared" si="2"/>
        <v>757.05625178122762</v>
      </c>
      <c r="H12" s="264">
        <f t="shared" si="2"/>
        <v>1487.6842881817679</v>
      </c>
      <c r="I12" s="264">
        <f t="shared" si="2"/>
        <v>1153.3030112264676</v>
      </c>
      <c r="J12" s="264">
        <f t="shared" si="2"/>
        <v>1493.3917116149173</v>
      </c>
      <c r="K12" s="264">
        <f t="shared" si="2"/>
        <v>1430.7569359235922</v>
      </c>
      <c r="L12" s="264">
        <f t="shared" si="2"/>
        <v>2377.8990279132622</v>
      </c>
      <c r="M12" s="264">
        <f t="shared" si="2"/>
        <v>2284.3036141599423</v>
      </c>
      <c r="N12" s="264">
        <f t="shared" si="2"/>
        <v>2634.8070576910636</v>
      </c>
      <c r="O12" s="264">
        <f t="shared" si="2"/>
        <v>2258.7364309721847</v>
      </c>
      <c r="P12" s="264">
        <f t="shared" si="2"/>
        <v>2625.1336822900257</v>
      </c>
      <c r="Q12" s="264">
        <f t="shared" si="2"/>
        <v>2230.8987038148966</v>
      </c>
      <c r="R12" s="264">
        <f t="shared" si="2"/>
        <v>2609.1027837742986</v>
      </c>
      <c r="S12" s="264">
        <f t="shared" si="2"/>
        <v>2356.1072551511229</v>
      </c>
      <c r="T12" s="264">
        <f t="shared" si="2"/>
        <v>2743.8476197825566</v>
      </c>
      <c r="U12" s="264">
        <f t="shared" si="2"/>
        <v>2330.5400719633662</v>
      </c>
      <c r="V12" s="264">
        <f t="shared" si="2"/>
        <v>2735.8033596796577</v>
      </c>
      <c r="W12" s="264">
        <f t="shared" si="2"/>
        <v>2302.4696140492006</v>
      </c>
      <c r="X12" s="264">
        <f t="shared" si="2"/>
        <v>2720.7499303428144</v>
      </c>
      <c r="Y12" s="264">
        <f t="shared" si="2"/>
        <v>2881.4409429424763</v>
      </c>
      <c r="Z12" s="264">
        <f t="shared" si="2"/>
        <v>3311.1443994333008</v>
      </c>
      <c r="AA12" s="264">
        <f t="shared" si="2"/>
        <v>2857.6925324473118</v>
      </c>
      <c r="AB12" s="264">
        <f t="shared" si="2"/>
        <v>3306.7150116391913</v>
      </c>
      <c r="AC12" s="264">
        <f t="shared" si="2"/>
        <v>2831.1842615662817</v>
      </c>
      <c r="AD12" s="188">
        <f t="shared" si="1"/>
        <v>55560.185072288572</v>
      </c>
    </row>
    <row r="13" spans="2:30" ht="17.149999999999999" customHeight="1" x14ac:dyDescent="0.35">
      <c r="B13" s="274" t="s">
        <v>41</v>
      </c>
      <c r="C13" s="296" t="s">
        <v>97</v>
      </c>
      <c r="D13" s="299">
        <f>投资计划!F6</f>
        <v>56315.741000000009</v>
      </c>
      <c r="E13" s="299">
        <f>投资计划!G6</f>
        <v>0</v>
      </c>
      <c r="F13" s="264">
        <v>0</v>
      </c>
      <c r="G13" s="264">
        <v>0</v>
      </c>
      <c r="H13" s="264">
        <v>0</v>
      </c>
      <c r="I13" s="264">
        <v>0</v>
      </c>
      <c r="J13" s="264">
        <v>0</v>
      </c>
      <c r="K13" s="264">
        <v>0</v>
      </c>
      <c r="L13" s="264">
        <v>0</v>
      </c>
      <c r="M13" s="264">
        <v>0</v>
      </c>
      <c r="N13" s="264">
        <v>0</v>
      </c>
      <c r="O13" s="264">
        <v>0</v>
      </c>
      <c r="P13" s="264">
        <v>0</v>
      </c>
      <c r="Q13" s="264">
        <v>0</v>
      </c>
      <c r="R13" s="264">
        <v>0</v>
      </c>
      <c r="S13" s="264">
        <v>0</v>
      </c>
      <c r="T13" s="264">
        <v>0</v>
      </c>
      <c r="U13" s="264">
        <v>0</v>
      </c>
      <c r="V13" s="264">
        <v>0</v>
      </c>
      <c r="W13" s="264">
        <v>0</v>
      </c>
      <c r="X13" s="264">
        <v>0</v>
      </c>
      <c r="Y13" s="264">
        <v>0</v>
      </c>
      <c r="Z13" s="264">
        <v>0</v>
      </c>
      <c r="AA13" s="264">
        <v>0</v>
      </c>
      <c r="AB13" s="264">
        <v>0</v>
      </c>
      <c r="AC13" s="264">
        <v>0</v>
      </c>
      <c r="AD13" s="188">
        <f t="shared" si="1"/>
        <v>0</v>
      </c>
    </row>
    <row r="14" spans="2:30" ht="17.149999999999999" customHeight="1" x14ac:dyDescent="0.35">
      <c r="B14" s="274" t="s">
        <v>42</v>
      </c>
      <c r="C14" s="296" t="s">
        <v>5</v>
      </c>
      <c r="D14" s="264">
        <f>投资计划!H8</f>
        <v>450</v>
      </c>
      <c r="E14" s="264">
        <f>投资计划!I8</f>
        <v>0</v>
      </c>
      <c r="F14" s="264">
        <f>投资计划!J8</f>
        <v>0</v>
      </c>
      <c r="G14" s="264">
        <f>投资计划!I8</f>
        <v>0</v>
      </c>
      <c r="H14" s="264">
        <f>投资计划!J8</f>
        <v>0</v>
      </c>
      <c r="I14" s="264">
        <f>投资计划!K8</f>
        <v>0</v>
      </c>
      <c r="J14" s="264">
        <f>投资计划!L8</f>
        <v>0</v>
      </c>
      <c r="K14" s="264">
        <f>投资计划!M8</f>
        <v>0</v>
      </c>
      <c r="L14" s="264">
        <f>投资计划!N8</f>
        <v>0</v>
      </c>
      <c r="M14" s="264">
        <f>投资计划!O8</f>
        <v>0</v>
      </c>
      <c r="N14" s="264">
        <f>投资计划!P8</f>
        <v>0</v>
      </c>
      <c r="O14" s="264">
        <f>投资计划!Q8</f>
        <v>0</v>
      </c>
      <c r="P14" s="264">
        <f>投资计划!R8</f>
        <v>0</v>
      </c>
      <c r="Q14" s="264">
        <f>投资计划!S8</f>
        <v>0</v>
      </c>
      <c r="R14" s="264">
        <f>投资计划!T8</f>
        <v>0</v>
      </c>
      <c r="S14" s="264">
        <f>投资计划!U8</f>
        <v>0</v>
      </c>
      <c r="T14" s="264">
        <f>投资计划!V8</f>
        <v>0</v>
      </c>
      <c r="U14" s="264">
        <f>投资计划!W8</f>
        <v>0</v>
      </c>
      <c r="V14" s="264">
        <f>投资计划!X8</f>
        <v>0</v>
      </c>
      <c r="W14" s="264">
        <f>投资计划!Y8</f>
        <v>0</v>
      </c>
      <c r="X14" s="264">
        <f>投资计划!Z8</f>
        <v>0</v>
      </c>
      <c r="Y14" s="264">
        <f>投资计划!AA8</f>
        <v>0</v>
      </c>
      <c r="Z14" s="264">
        <f>投资计划!AB8</f>
        <v>0</v>
      </c>
      <c r="AA14" s="264">
        <f>投资计划!AC8</f>
        <v>0</v>
      </c>
      <c r="AB14" s="264">
        <f>投资计划!AD8</f>
        <v>0</v>
      </c>
      <c r="AC14" s="264">
        <f>投资计划!AE8</f>
        <v>0</v>
      </c>
      <c r="AD14" s="188">
        <f>SUM(D14:AC14)</f>
        <v>450</v>
      </c>
    </row>
    <row r="15" spans="2:30" ht="17.149999999999999" customHeight="1" x14ac:dyDescent="0.35">
      <c r="B15" s="274" t="s">
        <v>121</v>
      </c>
      <c r="C15" s="296" t="s">
        <v>98</v>
      </c>
      <c r="D15" s="296"/>
      <c r="E15" s="264">
        <f>损益!G40</f>
        <v>0</v>
      </c>
      <c r="F15" s="264">
        <f>损益!H40</f>
        <v>0</v>
      </c>
      <c r="G15" s="264">
        <f>损益!I40</f>
        <v>0</v>
      </c>
      <c r="H15" s="264">
        <f>损益!J40</f>
        <v>0</v>
      </c>
      <c r="I15" s="264">
        <f>损益!K40</f>
        <v>0</v>
      </c>
      <c r="J15" s="264">
        <f>损益!L40</f>
        <v>0</v>
      </c>
      <c r="K15" s="264">
        <f>损益!M40</f>
        <v>0</v>
      </c>
      <c r="L15" s="264">
        <f>损益!N40</f>
        <v>559.09831345058183</v>
      </c>
      <c r="M15" s="264">
        <f>损益!O40</f>
        <v>740.63355886780425</v>
      </c>
      <c r="N15" s="264">
        <f>损益!P40</f>
        <v>736.67295160113144</v>
      </c>
      <c r="O15" s="264">
        <f>损益!Q40</f>
        <v>732.71234433445863</v>
      </c>
      <c r="P15" s="264">
        <f>损益!R40</f>
        <v>728.75173706778605</v>
      </c>
      <c r="Q15" s="264">
        <f>损益!S40</f>
        <v>724.79112980111313</v>
      </c>
      <c r="R15" s="264">
        <f>损益!T40</f>
        <v>720.83052253444032</v>
      </c>
      <c r="S15" s="264">
        <f>损益!U40</f>
        <v>716.86991526776774</v>
      </c>
      <c r="T15" s="264">
        <f>损益!V40</f>
        <v>712.90930800109493</v>
      </c>
      <c r="U15" s="264">
        <f>损益!W40</f>
        <v>708.94870073442235</v>
      </c>
      <c r="V15" s="264">
        <f>损益!X40</f>
        <v>704.98809346774954</v>
      </c>
      <c r="W15" s="264">
        <f>损益!Y40</f>
        <v>701.02748620107661</v>
      </c>
      <c r="X15" s="264">
        <f>损益!Z40</f>
        <v>697.06687893440392</v>
      </c>
      <c r="Y15" s="264">
        <f>损益!AA40</f>
        <v>693.10627166773111</v>
      </c>
      <c r="Z15" s="264">
        <f>损益!AB40</f>
        <v>689.14566440105841</v>
      </c>
      <c r="AA15" s="264">
        <f>损益!AC40</f>
        <v>685.18505713438572</v>
      </c>
      <c r="AB15" s="264">
        <f>损益!AD40</f>
        <v>681.22444986771279</v>
      </c>
      <c r="AC15" s="264">
        <f>损益!AE40</f>
        <v>677.26384260104021</v>
      </c>
      <c r="AD15" s="188">
        <f>SUM(E15:AC15)</f>
        <v>12611.226225935758</v>
      </c>
    </row>
    <row r="16" spans="2:30" ht="17.149999999999999" customHeight="1" x14ac:dyDescent="0.35">
      <c r="B16" s="274" t="s">
        <v>99</v>
      </c>
      <c r="C16" s="296" t="s">
        <v>260</v>
      </c>
      <c r="D16" s="264"/>
      <c r="E16" s="296">
        <f>财务计划!E14</f>
        <v>0</v>
      </c>
      <c r="F16" s="296">
        <f>财务计划!F14</f>
        <v>321.66652500000004</v>
      </c>
      <c r="G16" s="296">
        <f>财务计划!G14</f>
        <v>0</v>
      </c>
      <c r="H16" s="296">
        <f>财务计划!H14</f>
        <v>329.51205000000004</v>
      </c>
      <c r="I16" s="296">
        <f>财务计划!I14</f>
        <v>0</v>
      </c>
      <c r="J16" s="296">
        <f>财务计划!J14</f>
        <v>345.98765250000002</v>
      </c>
      <c r="K16" s="296">
        <f>财务计划!K14</f>
        <v>0</v>
      </c>
      <c r="L16" s="296">
        <f>财务计划!L14</f>
        <v>354.63734381250003</v>
      </c>
      <c r="M16" s="296">
        <f>财务计划!M14</f>
        <v>0</v>
      </c>
      <c r="N16" s="296">
        <f>财务计划!N14</f>
        <v>363.28703512500005</v>
      </c>
      <c r="O16" s="296">
        <f>财务计划!O14</f>
        <v>0</v>
      </c>
      <c r="P16" s="296">
        <f>财务计划!P14</f>
        <v>381.45138688125002</v>
      </c>
      <c r="Q16" s="296">
        <f>财务计划!Q14</f>
        <v>0</v>
      </c>
      <c r="R16" s="296">
        <f>财务计划!R14</f>
        <v>390.9876715532813</v>
      </c>
      <c r="S16" s="296">
        <f>财务计划!S14</f>
        <v>0</v>
      </c>
      <c r="T16" s="296">
        <f>财务计划!T14</f>
        <v>400.52395622531259</v>
      </c>
      <c r="U16" s="296">
        <f>财务计划!U14</f>
        <v>0</v>
      </c>
      <c r="V16" s="296">
        <f>财务计划!V14</f>
        <v>420.55015403657814</v>
      </c>
      <c r="W16" s="296">
        <f>财务计划!W14</f>
        <v>0</v>
      </c>
      <c r="X16" s="296">
        <f>财务计划!X14</f>
        <v>431.06390788749263</v>
      </c>
      <c r="Y16" s="296">
        <f>财务计划!Y14</f>
        <v>0</v>
      </c>
      <c r="Z16" s="296">
        <f>财务计划!Z14</f>
        <v>441.57766173840713</v>
      </c>
      <c r="AA16" s="296">
        <f>财务计划!AA14</f>
        <v>0</v>
      </c>
      <c r="AB16" s="296">
        <f>财务计划!AB14</f>
        <v>463.65654482532744</v>
      </c>
      <c r="AC16" s="296">
        <f>财务计划!AC14</f>
        <v>0</v>
      </c>
      <c r="AD16" s="188"/>
    </row>
    <row r="17" spans="2:30" ht="17.149999999999999" customHeight="1" x14ac:dyDescent="0.35">
      <c r="B17" s="274" t="s">
        <v>100</v>
      </c>
      <c r="C17" s="296" t="s">
        <v>558</v>
      </c>
      <c r="D17" s="296"/>
      <c r="E17" s="264">
        <f>成本!E22</f>
        <v>759.48128203801753</v>
      </c>
      <c r="F17" s="264">
        <f>成本!F22</f>
        <v>758.26876690962251</v>
      </c>
      <c r="G17" s="264">
        <f>成本!G22</f>
        <v>757.05625178122762</v>
      </c>
      <c r="H17" s="264">
        <f>成本!H22</f>
        <v>857.95027378082682</v>
      </c>
      <c r="I17" s="264">
        <f>成本!I22</f>
        <v>856.73775865243192</v>
      </c>
      <c r="J17" s="264">
        <f>成本!J22</f>
        <v>855.52524352403702</v>
      </c>
      <c r="K17" s="264">
        <f>成本!K22</f>
        <v>854.31272839564201</v>
      </c>
      <c r="L17" s="264">
        <f>成本!L22</f>
        <v>853.10021326724711</v>
      </c>
      <c r="M17" s="264">
        <f>成本!M22</f>
        <v>953.99423526684632</v>
      </c>
      <c r="N17" s="264">
        <f>成本!N22</f>
        <v>952.78172013845142</v>
      </c>
      <c r="O17" s="264">
        <f>成本!O22</f>
        <v>951.56920501005652</v>
      </c>
      <c r="P17" s="264">
        <f>成本!P22</f>
        <v>950.35668988166151</v>
      </c>
      <c r="Q17" s="264">
        <f>成本!Q22</f>
        <v>949.14417475326661</v>
      </c>
      <c r="R17" s="264">
        <f>成本!R22</f>
        <v>947.9316596248716</v>
      </c>
      <c r="S17" s="264">
        <f>成本!S22</f>
        <v>1150.9322187524649</v>
      </c>
      <c r="T17" s="264">
        <f>成本!T22</f>
        <v>1149.71970362407</v>
      </c>
      <c r="U17" s="264">
        <f>成本!U22</f>
        <v>1148.5071884956751</v>
      </c>
      <c r="V17" s="264">
        <f>成本!V22</f>
        <v>1147.2946733672802</v>
      </c>
      <c r="W17" s="264">
        <f>成本!W22</f>
        <v>1146.0821582388853</v>
      </c>
      <c r="X17" s="264">
        <f>成本!X22</f>
        <v>1144.8696431104904</v>
      </c>
      <c r="Y17" s="264">
        <f>成本!Y22</f>
        <v>1144.8696431104904</v>
      </c>
      <c r="Z17" s="264">
        <f>成本!Z22</f>
        <v>1144.8696431104904</v>
      </c>
      <c r="AA17" s="264">
        <f>成本!AA22</f>
        <v>1144.8696431104904</v>
      </c>
      <c r="AB17" s="264">
        <f>成本!AB22</f>
        <v>1144.8696431104904</v>
      </c>
      <c r="AC17" s="264">
        <f>成本!AC22</f>
        <v>1144.8696431104904</v>
      </c>
      <c r="AD17" s="188">
        <f>SUM(E17:AC17)</f>
        <v>24869.964004165526</v>
      </c>
    </row>
    <row r="18" spans="2:30" ht="17.149999999999999" customHeight="1" x14ac:dyDescent="0.35">
      <c r="B18" s="274" t="s">
        <v>285</v>
      </c>
      <c r="C18" s="296" t="s">
        <v>40</v>
      </c>
      <c r="D18" s="296"/>
      <c r="E18" s="264">
        <f>损益!G9</f>
        <v>0</v>
      </c>
      <c r="F18" s="264">
        <f>损益!H9</f>
        <v>0</v>
      </c>
      <c r="G18" s="264">
        <f>损益!I9</f>
        <v>0</v>
      </c>
      <c r="H18" s="264">
        <f>损益!J9</f>
        <v>0</v>
      </c>
      <c r="I18" s="264">
        <f>损益!K9</f>
        <v>0</v>
      </c>
      <c r="J18" s="264">
        <f>损益!L9</f>
        <v>0</v>
      </c>
      <c r="K18" s="264">
        <f>损益!M9</f>
        <v>0</v>
      </c>
      <c r="L18" s="264">
        <f>损益!N9</f>
        <v>55.909831345058187</v>
      </c>
      <c r="M18" s="264">
        <f>损益!O9</f>
        <v>74.063355886780428</v>
      </c>
      <c r="N18" s="264">
        <f>损益!P9</f>
        <v>73.667295160113142</v>
      </c>
      <c r="O18" s="264">
        <f>损益!Q9</f>
        <v>73.271234433445869</v>
      </c>
      <c r="P18" s="264">
        <f>损益!R9</f>
        <v>72.875173706778611</v>
      </c>
      <c r="Q18" s="264">
        <f>损益!S9</f>
        <v>72.47911298011131</v>
      </c>
      <c r="R18" s="264">
        <f>损益!T9</f>
        <v>72.083052253444038</v>
      </c>
      <c r="S18" s="264">
        <f>损益!U9</f>
        <v>71.686991526776779</v>
      </c>
      <c r="T18" s="264">
        <f>损益!V9</f>
        <v>71.290930800109493</v>
      </c>
      <c r="U18" s="264">
        <f>损益!W9</f>
        <v>70.894870073442235</v>
      </c>
      <c r="V18" s="264">
        <f>损益!X9</f>
        <v>70.498809346774962</v>
      </c>
      <c r="W18" s="264">
        <f>损益!Y9</f>
        <v>70.102748620107661</v>
      </c>
      <c r="X18" s="264">
        <f>损益!Z9</f>
        <v>69.706687893440389</v>
      </c>
      <c r="Y18" s="264">
        <f>损益!AA9</f>
        <v>69.310627166773116</v>
      </c>
      <c r="Z18" s="264">
        <f>损益!AB9</f>
        <v>68.914566440105844</v>
      </c>
      <c r="AA18" s="264">
        <f>损益!AC9</f>
        <v>68.518505713438572</v>
      </c>
      <c r="AB18" s="264">
        <f>损益!AD9</f>
        <v>68.122444986771285</v>
      </c>
      <c r="AC18" s="264">
        <f>损益!AE9</f>
        <v>67.726384260104027</v>
      </c>
      <c r="AD18" s="188">
        <f>SUM(E18:AC18)</f>
        <v>1261.1226225935759</v>
      </c>
    </row>
    <row r="19" spans="2:30" ht="17.149999999999999" customHeight="1" x14ac:dyDescent="0.35">
      <c r="B19" s="274" t="s">
        <v>101</v>
      </c>
      <c r="C19" s="296" t="s">
        <v>102</v>
      </c>
      <c r="D19" s="296"/>
      <c r="E19" s="264">
        <v>0</v>
      </c>
      <c r="F19" s="264">
        <v>0</v>
      </c>
      <c r="G19" s="264">
        <v>0</v>
      </c>
      <c r="H19" s="264">
        <f>H20*所得税率/2</f>
        <v>300.22196440094092</v>
      </c>
      <c r="I19" s="264">
        <f>I20*所得税率/2</f>
        <v>296.56525257403564</v>
      </c>
      <c r="J19" s="264">
        <f>J20*所得税率/2</f>
        <v>291.87881559088044</v>
      </c>
      <c r="K19" s="264">
        <f t="shared" ref="K19:AC19" si="3">K20*所得税率</f>
        <v>576.44420752795008</v>
      </c>
      <c r="L19" s="264">
        <f t="shared" si="3"/>
        <v>555.15332603787533</v>
      </c>
      <c r="M19" s="264">
        <f t="shared" si="3"/>
        <v>515.61246413851109</v>
      </c>
      <c r="N19" s="264">
        <f t="shared" si="3"/>
        <v>508.39805566636767</v>
      </c>
      <c r="O19" s="264">
        <f t="shared" si="3"/>
        <v>501.18364719422391</v>
      </c>
      <c r="P19" s="264">
        <f t="shared" si="3"/>
        <v>491.69869475254927</v>
      </c>
      <c r="Q19" s="264">
        <f t="shared" si="3"/>
        <v>484.4842862804054</v>
      </c>
      <c r="R19" s="264">
        <f t="shared" si="3"/>
        <v>477.26987780826187</v>
      </c>
      <c r="S19" s="264">
        <f t="shared" si="3"/>
        <v>416.61812960411356</v>
      </c>
      <c r="T19" s="264">
        <f t="shared" si="3"/>
        <v>409.4037211319698</v>
      </c>
      <c r="U19" s="264">
        <f t="shared" si="3"/>
        <v>402.18931265982644</v>
      </c>
      <c r="V19" s="264">
        <f t="shared" si="3"/>
        <v>392.4716294612748</v>
      </c>
      <c r="W19" s="264">
        <f t="shared" si="3"/>
        <v>385.25722098913093</v>
      </c>
      <c r="X19" s="264">
        <f t="shared" si="3"/>
        <v>378.04281251698728</v>
      </c>
      <c r="Y19" s="264">
        <f t="shared" si="3"/>
        <v>974.1544009974815</v>
      </c>
      <c r="Z19" s="264">
        <f t="shared" si="3"/>
        <v>966.63686374323936</v>
      </c>
      <c r="AA19" s="264">
        <f t="shared" si="3"/>
        <v>959.11932648899699</v>
      </c>
      <c r="AB19" s="264">
        <f t="shared" si="3"/>
        <v>948.84192884888932</v>
      </c>
      <c r="AC19" s="264">
        <f t="shared" si="3"/>
        <v>941.32439159464718</v>
      </c>
      <c r="AD19" s="188">
        <f>SUM(E19:AC19)</f>
        <v>12172.97033000856</v>
      </c>
    </row>
    <row r="20" spans="2:30" ht="17.149999999999999" customHeight="1" x14ac:dyDescent="0.35">
      <c r="B20" s="274" t="s">
        <v>124</v>
      </c>
      <c r="C20" s="296" t="s">
        <v>103</v>
      </c>
      <c r="D20" s="296"/>
      <c r="E20" s="264">
        <f>损益!G15+成本!E13</f>
        <v>2425.1797782151548</v>
      </c>
      <c r="F20" s="264">
        <f>损益!H15+成本!F13</f>
        <v>2570.2351665660026</v>
      </c>
      <c r="G20" s="264">
        <f>损益!I15+成本!G13</f>
        <v>2533.1359469507634</v>
      </c>
      <c r="H20" s="264">
        <f>损益!J15+成本!H13</f>
        <v>2401.7757152075274</v>
      </c>
      <c r="I20" s="264">
        <f>损益!K15+成本!I13</f>
        <v>2372.5220205922851</v>
      </c>
      <c r="J20" s="264">
        <f>损益!L15+成本!J13</f>
        <v>2335.0305247270435</v>
      </c>
      <c r="K20" s="264">
        <f>损益!M15+成本!K13</f>
        <v>2305.7768301118003</v>
      </c>
      <c r="L20" s="264">
        <f>损益!N15+成本!L13</f>
        <v>2220.6133041515013</v>
      </c>
      <c r="M20" s="264">
        <f>损益!O15+成本!M13</f>
        <v>2062.4498565540443</v>
      </c>
      <c r="N20" s="264">
        <f>损益!P15+成本!N13</f>
        <v>2033.5922226654707</v>
      </c>
      <c r="O20" s="264">
        <f>损益!Q15+成本!O13</f>
        <v>2004.7345887768956</v>
      </c>
      <c r="P20" s="264">
        <f>损益!R15+成本!P13</f>
        <v>1966.7947790101971</v>
      </c>
      <c r="Q20" s="264">
        <f>损益!S15+成本!Q13</f>
        <v>1937.9371451216216</v>
      </c>
      <c r="R20" s="264">
        <f>损益!T15+成本!R13</f>
        <v>1909.0795112330475</v>
      </c>
      <c r="S20" s="264">
        <f>损益!U15+成本!S13</f>
        <v>1666.4725184164542</v>
      </c>
      <c r="T20" s="264">
        <f>损益!V15+成本!T13</f>
        <v>1637.6148845278792</v>
      </c>
      <c r="U20" s="264">
        <f>损益!W15+成本!U13</f>
        <v>1608.7572506393058</v>
      </c>
      <c r="V20" s="264">
        <f>损益!X15+成本!V13</f>
        <v>1569.8865178450992</v>
      </c>
      <c r="W20" s="264">
        <f>损益!Y15+成本!W13</f>
        <v>1541.0288839565237</v>
      </c>
      <c r="X20" s="264">
        <f>损益!Z15+成本!X13</f>
        <v>1512.1712500679491</v>
      </c>
      <c r="Y20" s="264">
        <f>损益!AA15+成本!Y13</f>
        <v>3896.617603989926</v>
      </c>
      <c r="Z20" s="264">
        <f>损益!AB15+成本!Z13</f>
        <v>3866.5474549729574</v>
      </c>
      <c r="AA20" s="264">
        <f>损益!AC15+成本!AA13</f>
        <v>3836.477305955988</v>
      </c>
      <c r="AB20" s="264">
        <f>损益!AD15+成本!AB13</f>
        <v>3795.3677153955573</v>
      </c>
      <c r="AC20" s="264">
        <f>损益!AE15+成本!AC13</f>
        <v>3765.2975663785887</v>
      </c>
      <c r="AD20" s="188">
        <f>SUM(E20:AC20)</f>
        <v>59775.096342029596</v>
      </c>
    </row>
    <row r="21" spans="2:30" ht="17.149999999999999" customHeight="1" x14ac:dyDescent="0.35">
      <c r="B21" s="185"/>
      <c r="C21" s="296"/>
      <c r="D21" s="296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97"/>
      <c r="AA21" s="297"/>
      <c r="AB21" s="297"/>
      <c r="AC21" s="297"/>
      <c r="AD21" s="188">
        <f>SUM(E21:Y21)</f>
        <v>0</v>
      </c>
    </row>
    <row r="22" spans="2:30" ht="17.149999999999999" customHeight="1" x14ac:dyDescent="0.35">
      <c r="B22" s="274" t="s">
        <v>104</v>
      </c>
      <c r="C22" s="296" t="s">
        <v>105</v>
      </c>
      <c r="D22" s="264">
        <f t="shared" ref="D22:AC22" si="4">D5-D12</f>
        <v>-56765.741000000009</v>
      </c>
      <c r="E22" s="264">
        <f t="shared" si="4"/>
        <v>5619.7645617119824</v>
      </c>
      <c r="F22" s="264">
        <f t="shared" si="4"/>
        <v>5598.8672080903771</v>
      </c>
      <c r="G22" s="264">
        <f t="shared" si="4"/>
        <v>5887.3194312084643</v>
      </c>
      <c r="H22" s="264">
        <f t="shared" si="4"/>
        <v>5122.264577797614</v>
      </c>
      <c r="I22" s="264">
        <f t="shared" si="4"/>
        <v>5422.219037742605</v>
      </c>
      <c r="J22" s="264">
        <f t="shared" si="4"/>
        <v>5047.7035203438463</v>
      </c>
      <c r="K22" s="264">
        <f t="shared" si="4"/>
        <v>5075.9114790248614</v>
      </c>
      <c r="L22" s="264">
        <f t="shared" si="4"/>
        <v>4094.3425700248827</v>
      </c>
      <c r="M22" s="264">
        <f t="shared" si="4"/>
        <v>4153.5111667678939</v>
      </c>
      <c r="N22" s="264">
        <f t="shared" si="4"/>
        <v>3768.580906226463</v>
      </c>
      <c r="O22" s="264">
        <f t="shared" si="4"/>
        <v>4110.2247159350336</v>
      </c>
      <c r="P22" s="264">
        <f t="shared" si="4"/>
        <v>3709.4006476068835</v>
      </c>
      <c r="Q22" s="264">
        <f t="shared" si="4"/>
        <v>4069.208809071702</v>
      </c>
      <c r="R22" s="264">
        <f t="shared" si="4"/>
        <v>3656.5779121019905</v>
      </c>
      <c r="S22" s="264">
        <f t="shared" si="4"/>
        <v>3875.1466237148575</v>
      </c>
      <c r="T22" s="264">
        <f t="shared" si="4"/>
        <v>3452.979442073115</v>
      </c>
      <c r="U22" s="264">
        <f t="shared" si="4"/>
        <v>3831.8601728819967</v>
      </c>
      <c r="V22" s="264">
        <f t="shared" si="4"/>
        <v>3392.1700681553957</v>
      </c>
      <c r="W22" s="264">
        <f t="shared" si="4"/>
        <v>3791.0769967755423</v>
      </c>
      <c r="X22" s="264">
        <f t="shared" si="4"/>
        <v>3338.3698634716188</v>
      </c>
      <c r="Y22" s="264">
        <f t="shared" si="4"/>
        <v>3143.2520338616482</v>
      </c>
      <c r="Z22" s="264">
        <f t="shared" si="4"/>
        <v>2679.1217603605151</v>
      </c>
      <c r="AA22" s="264">
        <f t="shared" si="4"/>
        <v>3098.1468103361944</v>
      </c>
      <c r="AB22" s="264">
        <f t="shared" si="4"/>
        <v>2614.6975141340045</v>
      </c>
      <c r="AC22" s="264">
        <f t="shared" si="4"/>
        <v>6179.7163882359373</v>
      </c>
      <c r="AD22" s="188">
        <f>SUM(E22:AC22)</f>
        <v>104732.43421765542</v>
      </c>
    </row>
    <row r="23" spans="2:30" ht="17.149999999999999" customHeight="1" x14ac:dyDescent="0.35">
      <c r="B23" s="274" t="s">
        <v>106</v>
      </c>
      <c r="C23" s="296" t="s">
        <v>107</v>
      </c>
      <c r="D23" s="264">
        <f>D22</f>
        <v>-56765.741000000009</v>
      </c>
      <c r="E23" s="264">
        <f t="shared" ref="E23:AC23" si="5">D23+E22</f>
        <v>-51145.976438288024</v>
      </c>
      <c r="F23" s="264">
        <f t="shared" si="5"/>
        <v>-45547.109230197646</v>
      </c>
      <c r="G23" s="264">
        <f t="shared" si="5"/>
        <v>-39659.789798989179</v>
      </c>
      <c r="H23" s="264">
        <f t="shared" si="5"/>
        <v>-34537.525221191565</v>
      </c>
      <c r="I23" s="264">
        <f t="shared" si="5"/>
        <v>-29115.30618344896</v>
      </c>
      <c r="J23" s="264">
        <f t="shared" si="5"/>
        <v>-24067.602663105114</v>
      </c>
      <c r="K23" s="264">
        <f t="shared" si="5"/>
        <v>-18991.691184080253</v>
      </c>
      <c r="L23" s="264">
        <f t="shared" si="5"/>
        <v>-14897.34861405537</v>
      </c>
      <c r="M23" s="264">
        <f t="shared" si="5"/>
        <v>-10743.837447287477</v>
      </c>
      <c r="N23" s="264">
        <f t="shared" si="5"/>
        <v>-6975.2565410610132</v>
      </c>
      <c r="O23" s="264">
        <f t="shared" si="5"/>
        <v>-2865.0318251259796</v>
      </c>
      <c r="P23" s="264">
        <f t="shared" si="5"/>
        <v>844.36882248090387</v>
      </c>
      <c r="Q23" s="264">
        <f t="shared" si="5"/>
        <v>4913.5776315526055</v>
      </c>
      <c r="R23" s="264">
        <f t="shared" si="5"/>
        <v>8570.1555436545968</v>
      </c>
      <c r="S23" s="264">
        <f t="shared" si="5"/>
        <v>12445.302167369455</v>
      </c>
      <c r="T23" s="264">
        <f t="shared" si="5"/>
        <v>15898.281609442569</v>
      </c>
      <c r="U23" s="264">
        <f t="shared" si="5"/>
        <v>19730.141782324565</v>
      </c>
      <c r="V23" s="264">
        <f t="shared" si="5"/>
        <v>23122.31185047996</v>
      </c>
      <c r="W23" s="264">
        <f t="shared" si="5"/>
        <v>26913.388847255505</v>
      </c>
      <c r="X23" s="264">
        <f t="shared" si="5"/>
        <v>30251.758710727125</v>
      </c>
      <c r="Y23" s="264">
        <f t="shared" si="5"/>
        <v>33395.01074458877</v>
      </c>
      <c r="Z23" s="264">
        <f t="shared" si="5"/>
        <v>36074.132504949288</v>
      </c>
      <c r="AA23" s="264">
        <f t="shared" si="5"/>
        <v>39172.279315285479</v>
      </c>
      <c r="AB23" s="264">
        <f t="shared" si="5"/>
        <v>41786.97682941948</v>
      </c>
      <c r="AC23" s="264">
        <f t="shared" si="5"/>
        <v>47966.693217655418</v>
      </c>
      <c r="AD23" s="300" t="s">
        <v>38</v>
      </c>
    </row>
    <row r="24" spans="2:30" ht="17.149999999999999" customHeight="1" x14ac:dyDescent="0.35">
      <c r="B24" s="185"/>
      <c r="C24" s="296" t="s">
        <v>108</v>
      </c>
      <c r="D24" s="301"/>
      <c r="E24" s="302"/>
      <c r="F24" s="264"/>
      <c r="G24" s="264"/>
      <c r="H24" s="264"/>
      <c r="I24" s="264"/>
      <c r="J24" s="303">
        <f t="shared" ref="J24:AC24" si="6">IF(AND(I23&lt;0,J23&gt;0),I4-I23/J22,0)</f>
        <v>0</v>
      </c>
      <c r="K24" s="303">
        <f t="shared" si="6"/>
        <v>0</v>
      </c>
      <c r="L24" s="303">
        <f t="shared" si="6"/>
        <v>0</v>
      </c>
      <c r="M24" s="303">
        <f t="shared" si="6"/>
        <v>0</v>
      </c>
      <c r="N24" s="303">
        <f t="shared" si="6"/>
        <v>0</v>
      </c>
      <c r="O24" s="303">
        <f t="shared" si="6"/>
        <v>0</v>
      </c>
      <c r="P24" s="303">
        <f t="shared" si="6"/>
        <v>11.772370551823339</v>
      </c>
      <c r="Q24" s="303">
        <f t="shared" si="6"/>
        <v>0</v>
      </c>
      <c r="R24" s="303">
        <f t="shared" si="6"/>
        <v>0</v>
      </c>
      <c r="S24" s="303">
        <f t="shared" si="6"/>
        <v>0</v>
      </c>
      <c r="T24" s="303">
        <f t="shared" si="6"/>
        <v>0</v>
      </c>
      <c r="U24" s="303">
        <f t="shared" si="6"/>
        <v>0</v>
      </c>
      <c r="V24" s="303">
        <f t="shared" si="6"/>
        <v>0</v>
      </c>
      <c r="W24" s="303">
        <f t="shared" si="6"/>
        <v>0</v>
      </c>
      <c r="X24" s="303">
        <f t="shared" si="6"/>
        <v>0</v>
      </c>
      <c r="Y24" s="303">
        <f t="shared" si="6"/>
        <v>0</v>
      </c>
      <c r="Z24" s="303">
        <f t="shared" si="6"/>
        <v>0</v>
      </c>
      <c r="AA24" s="303">
        <f t="shared" si="6"/>
        <v>0</v>
      </c>
      <c r="AB24" s="303">
        <f t="shared" si="6"/>
        <v>0</v>
      </c>
      <c r="AC24" s="303">
        <f t="shared" si="6"/>
        <v>0</v>
      </c>
      <c r="AD24" s="188">
        <f>SUM(E24:AC24)</f>
        <v>11.772370551823339</v>
      </c>
    </row>
    <row r="25" spans="2:30" ht="17.149999999999999" customHeight="1" x14ac:dyDescent="0.35">
      <c r="B25" s="185"/>
      <c r="C25" s="304" t="s">
        <v>109</v>
      </c>
      <c r="D25" s="264">
        <f t="shared" ref="D25:AC25" si="7">D22+D19</f>
        <v>-56765.741000000009</v>
      </c>
      <c r="E25" s="264">
        <f t="shared" si="7"/>
        <v>5619.7645617119824</v>
      </c>
      <c r="F25" s="264">
        <f t="shared" si="7"/>
        <v>5598.8672080903771</v>
      </c>
      <c r="G25" s="264">
        <f t="shared" si="7"/>
        <v>5887.3194312084643</v>
      </c>
      <c r="H25" s="264">
        <f t="shared" si="7"/>
        <v>5422.4865421985551</v>
      </c>
      <c r="I25" s="264">
        <f t="shared" si="7"/>
        <v>5718.7842903166402</v>
      </c>
      <c r="J25" s="264">
        <f t="shared" si="7"/>
        <v>5339.5823359347269</v>
      </c>
      <c r="K25" s="264">
        <f t="shared" si="7"/>
        <v>5652.3556865528117</v>
      </c>
      <c r="L25" s="264">
        <f t="shared" si="7"/>
        <v>4649.4958960627582</v>
      </c>
      <c r="M25" s="264">
        <f t="shared" si="7"/>
        <v>4669.1236309064052</v>
      </c>
      <c r="N25" s="264">
        <f t="shared" si="7"/>
        <v>4276.9789618928307</v>
      </c>
      <c r="O25" s="264">
        <f t="shared" si="7"/>
        <v>4611.4083631292579</v>
      </c>
      <c r="P25" s="264">
        <f t="shared" si="7"/>
        <v>4201.0993423594327</v>
      </c>
      <c r="Q25" s="264">
        <f t="shared" si="7"/>
        <v>4553.6930953521078</v>
      </c>
      <c r="R25" s="264">
        <f t="shared" si="7"/>
        <v>4133.8477899102527</v>
      </c>
      <c r="S25" s="264">
        <f t="shared" si="7"/>
        <v>4291.7647533189711</v>
      </c>
      <c r="T25" s="264">
        <f t="shared" si="7"/>
        <v>3862.3831632050847</v>
      </c>
      <c r="U25" s="264">
        <f t="shared" si="7"/>
        <v>4234.0494855418228</v>
      </c>
      <c r="V25" s="264">
        <f t="shared" si="7"/>
        <v>3784.6416976166706</v>
      </c>
      <c r="W25" s="264">
        <f t="shared" si="7"/>
        <v>4176.3342177646737</v>
      </c>
      <c r="X25" s="264">
        <f t="shared" si="7"/>
        <v>3716.4126759886062</v>
      </c>
      <c r="Y25" s="264">
        <f t="shared" si="7"/>
        <v>4117.4064348591301</v>
      </c>
      <c r="Z25" s="264">
        <f t="shared" si="7"/>
        <v>3645.7586241037543</v>
      </c>
      <c r="AA25" s="264">
        <f t="shared" si="7"/>
        <v>4057.2661368251916</v>
      </c>
      <c r="AB25" s="264">
        <f t="shared" si="7"/>
        <v>3563.5394429828939</v>
      </c>
      <c r="AC25" s="264">
        <f t="shared" si="7"/>
        <v>7121.0407798305841</v>
      </c>
      <c r="AD25" s="300"/>
    </row>
    <row r="26" spans="2:30" ht="17.149999999999999" customHeight="1" x14ac:dyDescent="0.35">
      <c r="B26" s="305"/>
      <c r="C26" s="306" t="s">
        <v>110</v>
      </c>
      <c r="D26" s="307">
        <f>D25</f>
        <v>-56765.741000000009</v>
      </c>
      <c r="E26" s="264">
        <f>D26+E25</f>
        <v>-51145.976438288024</v>
      </c>
      <c r="F26" s="307">
        <f t="shared" ref="F26:AC26" si="8">E26+F25</f>
        <v>-45547.109230197646</v>
      </c>
      <c r="G26" s="307">
        <f t="shared" si="8"/>
        <v>-39659.789798989179</v>
      </c>
      <c r="H26" s="307">
        <f t="shared" si="8"/>
        <v>-34237.303256790627</v>
      </c>
      <c r="I26" s="307">
        <f t="shared" si="8"/>
        <v>-28518.518966473988</v>
      </c>
      <c r="J26" s="307">
        <f t="shared" si="8"/>
        <v>-23178.936630539261</v>
      </c>
      <c r="K26" s="307">
        <f t="shared" si="8"/>
        <v>-17526.58094398645</v>
      </c>
      <c r="L26" s="307">
        <f t="shared" si="8"/>
        <v>-12877.085047923691</v>
      </c>
      <c r="M26" s="307">
        <f t="shared" si="8"/>
        <v>-8207.9614170172863</v>
      </c>
      <c r="N26" s="307">
        <f t="shared" si="8"/>
        <v>-3930.9824551244556</v>
      </c>
      <c r="O26" s="307">
        <f t="shared" si="8"/>
        <v>680.4259080048023</v>
      </c>
      <c r="P26" s="307">
        <f t="shared" si="8"/>
        <v>4881.525250364235</v>
      </c>
      <c r="Q26" s="307">
        <f t="shared" si="8"/>
        <v>9435.2183457163428</v>
      </c>
      <c r="R26" s="307">
        <f t="shared" si="8"/>
        <v>13569.066135626595</v>
      </c>
      <c r="S26" s="307">
        <f t="shared" si="8"/>
        <v>17860.830888945566</v>
      </c>
      <c r="T26" s="307">
        <f t="shared" si="8"/>
        <v>21723.214052150652</v>
      </c>
      <c r="U26" s="307">
        <f t="shared" si="8"/>
        <v>25957.263537692474</v>
      </c>
      <c r="V26" s="307">
        <f t="shared" si="8"/>
        <v>29741.905235309143</v>
      </c>
      <c r="W26" s="307">
        <f t="shared" si="8"/>
        <v>33918.239453073817</v>
      </c>
      <c r="X26" s="307">
        <f t="shared" si="8"/>
        <v>37634.652129062422</v>
      </c>
      <c r="Y26" s="307">
        <f t="shared" si="8"/>
        <v>41752.05856392155</v>
      </c>
      <c r="Z26" s="307">
        <f t="shared" si="8"/>
        <v>45397.817188025307</v>
      </c>
      <c r="AA26" s="307">
        <f t="shared" si="8"/>
        <v>49455.083324850501</v>
      </c>
      <c r="AB26" s="307">
        <f t="shared" si="8"/>
        <v>53018.622767833396</v>
      </c>
      <c r="AC26" s="307">
        <f t="shared" si="8"/>
        <v>60139.663547663979</v>
      </c>
      <c r="AD26" s="308"/>
    </row>
    <row r="27" spans="2:30" ht="17.149999999999999" customHeight="1" thickBot="1" x14ac:dyDescent="0.4">
      <c r="B27" s="233"/>
      <c r="C27" s="309" t="s">
        <v>111</v>
      </c>
      <c r="D27" s="310">
        <f>0</f>
        <v>0</v>
      </c>
      <c r="E27" s="310">
        <f t="shared" ref="E27:AC27" si="9">IF(AND(D26&lt;0,E26&gt;0),D4-D26/E25,0)</f>
        <v>0</v>
      </c>
      <c r="F27" s="310">
        <f t="shared" si="9"/>
        <v>0</v>
      </c>
      <c r="G27" s="310">
        <f t="shared" si="9"/>
        <v>0</v>
      </c>
      <c r="H27" s="310">
        <f t="shared" si="9"/>
        <v>0</v>
      </c>
      <c r="I27" s="310">
        <f t="shared" si="9"/>
        <v>0</v>
      </c>
      <c r="J27" s="310">
        <f t="shared" si="9"/>
        <v>0</v>
      </c>
      <c r="K27" s="310">
        <f t="shared" si="9"/>
        <v>0</v>
      </c>
      <c r="L27" s="310">
        <f t="shared" si="9"/>
        <v>0</v>
      </c>
      <c r="M27" s="310">
        <f t="shared" si="9"/>
        <v>0</v>
      </c>
      <c r="N27" s="310">
        <f t="shared" si="9"/>
        <v>0</v>
      </c>
      <c r="O27" s="310">
        <f t="shared" si="9"/>
        <v>10.852447266773167</v>
      </c>
      <c r="P27" s="310">
        <f t="shared" si="9"/>
        <v>0</v>
      </c>
      <c r="Q27" s="310">
        <f t="shared" si="9"/>
        <v>0</v>
      </c>
      <c r="R27" s="310">
        <f t="shared" si="9"/>
        <v>0</v>
      </c>
      <c r="S27" s="310">
        <f t="shared" si="9"/>
        <v>0</v>
      </c>
      <c r="T27" s="310">
        <f t="shared" si="9"/>
        <v>0</v>
      </c>
      <c r="U27" s="310">
        <f t="shared" si="9"/>
        <v>0</v>
      </c>
      <c r="V27" s="310">
        <f t="shared" si="9"/>
        <v>0</v>
      </c>
      <c r="W27" s="310">
        <f t="shared" si="9"/>
        <v>0</v>
      </c>
      <c r="X27" s="310">
        <f t="shared" si="9"/>
        <v>0</v>
      </c>
      <c r="Y27" s="310">
        <f t="shared" si="9"/>
        <v>0</v>
      </c>
      <c r="Z27" s="310">
        <f t="shared" si="9"/>
        <v>0</v>
      </c>
      <c r="AA27" s="310">
        <f t="shared" si="9"/>
        <v>0</v>
      </c>
      <c r="AB27" s="310">
        <f t="shared" si="9"/>
        <v>0</v>
      </c>
      <c r="AC27" s="310">
        <f t="shared" si="9"/>
        <v>0</v>
      </c>
      <c r="AD27" s="188">
        <f>SUM(E27:AC27)</f>
        <v>10.852447266773167</v>
      </c>
    </row>
    <row r="28" spans="2:30" ht="17.149999999999999" customHeight="1" x14ac:dyDescent="0.3">
      <c r="B28" s="311"/>
      <c r="C28" s="312"/>
      <c r="D28" s="312"/>
      <c r="E28" s="312"/>
      <c r="F28" s="312"/>
      <c r="G28" s="312"/>
      <c r="H28" s="312"/>
      <c r="I28" s="313" t="s">
        <v>112</v>
      </c>
      <c r="J28" s="313"/>
      <c r="K28" s="314"/>
      <c r="L28" s="314" t="s">
        <v>113</v>
      </c>
      <c r="M28" s="314"/>
      <c r="N28" s="311"/>
      <c r="O28" s="311"/>
      <c r="P28" s="312"/>
      <c r="Q28" s="312"/>
      <c r="R28" s="312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</row>
    <row r="29" spans="2:30" ht="17.149999999999999" customHeight="1" x14ac:dyDescent="0.3">
      <c r="B29" s="315"/>
      <c r="C29" s="316" t="s">
        <v>114</v>
      </c>
      <c r="D29" s="317"/>
      <c r="E29" s="318"/>
      <c r="F29" s="318"/>
      <c r="G29" s="319"/>
      <c r="H29" s="319"/>
      <c r="I29" s="320">
        <f>IRR(D22:AC22)*100</f>
        <v>6.1292324950942723</v>
      </c>
      <c r="J29" s="321"/>
      <c r="K29" s="321"/>
      <c r="L29" s="320">
        <f>IRR(D25:AC25)*100</f>
        <v>7.1209828399705133</v>
      </c>
      <c r="M29" s="322"/>
      <c r="N29" s="547"/>
      <c r="O29" s="547"/>
      <c r="P29" s="322"/>
      <c r="Q29" s="322"/>
      <c r="R29" s="322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  <c r="AD29" s="319"/>
    </row>
    <row r="30" spans="2:30" ht="17.149999999999999" customHeight="1" x14ac:dyDescent="0.35">
      <c r="B30" s="323"/>
      <c r="C30" s="317" t="s">
        <v>115</v>
      </c>
      <c r="D30" s="317"/>
      <c r="E30" s="323" t="s">
        <v>116</v>
      </c>
      <c r="F30" s="324">
        <v>0.05</v>
      </c>
      <c r="G30" s="319"/>
      <c r="H30" s="319"/>
      <c r="I30" s="325">
        <f>NPV(F30,D22:AC22)</f>
        <v>5520.7270823883891</v>
      </c>
      <c r="J30" s="319"/>
      <c r="K30" s="326"/>
      <c r="L30" s="325">
        <f>NPV(F30,D25:AC25)</f>
        <v>11023.466533904575</v>
      </c>
      <c r="M30" s="322"/>
      <c r="N30" s="547"/>
      <c r="O30" s="547"/>
      <c r="P30" s="322"/>
      <c r="Q30" s="322"/>
      <c r="R30" s="322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</row>
    <row r="31" spans="2:30" ht="17.149999999999999" customHeight="1" x14ac:dyDescent="0.35">
      <c r="B31" s="323"/>
      <c r="C31" s="316" t="s">
        <v>117</v>
      </c>
      <c r="D31" s="317"/>
      <c r="E31" s="323"/>
      <c r="F31" s="323"/>
      <c r="G31" s="319"/>
      <c r="H31" s="326"/>
      <c r="I31" s="327">
        <f>AD24</f>
        <v>11.772370551823339</v>
      </c>
      <c r="J31" s="326"/>
      <c r="K31" s="326"/>
      <c r="L31" s="328">
        <f>AD27</f>
        <v>10.852447266773167</v>
      </c>
      <c r="M31" s="322"/>
      <c r="N31" s="547"/>
      <c r="O31" s="547"/>
      <c r="P31" s="329"/>
      <c r="Q31" s="322"/>
      <c r="R31" s="322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</row>
    <row r="33" spans="2:30" x14ac:dyDescent="0.3">
      <c r="H33" s="184" t="s">
        <v>543</v>
      </c>
      <c r="I33" s="320">
        <f>IRR(D22:X22)*100</f>
        <v>5.0252142974522407</v>
      </c>
      <c r="L33" s="484">
        <f>IRR(D25:X25)*100</f>
        <v>5.9648832833042897</v>
      </c>
    </row>
    <row r="36" spans="2:30" x14ac:dyDescent="0.3"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</row>
    <row r="37" spans="2:30" ht="25.5" customHeight="1" x14ac:dyDescent="0.3">
      <c r="B37" s="548" t="s">
        <v>118</v>
      </c>
      <c r="C37" s="548"/>
      <c r="D37" s="548"/>
      <c r="E37" s="548"/>
      <c r="F37" s="548"/>
      <c r="G37" s="548"/>
      <c r="H37" s="548"/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  <c r="AA37" s="548"/>
      <c r="AB37" s="548"/>
      <c r="AC37" s="548"/>
      <c r="AD37" s="548"/>
    </row>
    <row r="38" spans="2:30" ht="14.6" thickBot="1" x14ac:dyDescent="0.35"/>
    <row r="39" spans="2:30" ht="17.149999999999999" customHeight="1" x14ac:dyDescent="0.3">
      <c r="B39" s="558" t="s">
        <v>0</v>
      </c>
      <c r="C39" s="551" t="s">
        <v>7</v>
      </c>
      <c r="D39" s="295"/>
      <c r="E39" s="554" t="s">
        <v>119</v>
      </c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55"/>
      <c r="AB39" s="555"/>
      <c r="AC39" s="555"/>
      <c r="AD39" s="556" t="s">
        <v>11</v>
      </c>
    </row>
    <row r="40" spans="2:30" ht="17.149999999999999" customHeight="1" x14ac:dyDescent="0.3">
      <c r="B40" s="559"/>
      <c r="C40" s="552"/>
      <c r="D40" s="330">
        <f t="shared" ref="D40:AC40" si="10">D4</f>
        <v>1</v>
      </c>
      <c r="E40" s="330">
        <f t="shared" si="10"/>
        <v>1</v>
      </c>
      <c r="F40" s="330">
        <f t="shared" si="10"/>
        <v>2</v>
      </c>
      <c r="G40" s="330">
        <f t="shared" si="10"/>
        <v>3</v>
      </c>
      <c r="H40" s="330">
        <f t="shared" si="10"/>
        <v>4</v>
      </c>
      <c r="I40" s="330">
        <f t="shared" si="10"/>
        <v>5</v>
      </c>
      <c r="J40" s="330">
        <f t="shared" si="10"/>
        <v>6</v>
      </c>
      <c r="K40" s="330">
        <f t="shared" si="10"/>
        <v>7</v>
      </c>
      <c r="L40" s="330">
        <f t="shared" si="10"/>
        <v>8</v>
      </c>
      <c r="M40" s="330">
        <f t="shared" si="10"/>
        <v>9</v>
      </c>
      <c r="N40" s="330">
        <f t="shared" si="10"/>
        <v>10</v>
      </c>
      <c r="O40" s="330">
        <f t="shared" si="10"/>
        <v>11</v>
      </c>
      <c r="P40" s="330">
        <f t="shared" si="10"/>
        <v>12</v>
      </c>
      <c r="Q40" s="330">
        <f t="shared" si="10"/>
        <v>13</v>
      </c>
      <c r="R40" s="330">
        <f t="shared" si="10"/>
        <v>14</v>
      </c>
      <c r="S40" s="330">
        <f t="shared" si="10"/>
        <v>15</v>
      </c>
      <c r="T40" s="330">
        <f t="shared" si="10"/>
        <v>16</v>
      </c>
      <c r="U40" s="330">
        <f t="shared" si="10"/>
        <v>17</v>
      </c>
      <c r="V40" s="330">
        <f t="shared" si="10"/>
        <v>18</v>
      </c>
      <c r="W40" s="330">
        <f t="shared" si="10"/>
        <v>19</v>
      </c>
      <c r="X40" s="330">
        <f t="shared" si="10"/>
        <v>20</v>
      </c>
      <c r="Y40" s="330">
        <f t="shared" si="10"/>
        <v>21</v>
      </c>
      <c r="Z40" s="330">
        <f t="shared" si="10"/>
        <v>22</v>
      </c>
      <c r="AA40" s="330">
        <f t="shared" si="10"/>
        <v>23</v>
      </c>
      <c r="AB40" s="330">
        <f t="shared" si="10"/>
        <v>24</v>
      </c>
      <c r="AC40" s="330">
        <f t="shared" si="10"/>
        <v>25</v>
      </c>
      <c r="AD40" s="557"/>
    </row>
    <row r="41" spans="2:30" x14ac:dyDescent="0.35">
      <c r="B41" s="231"/>
      <c r="C41" s="331"/>
      <c r="D41" s="331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97"/>
      <c r="AA41" s="297"/>
      <c r="AB41" s="297"/>
      <c r="AC41" s="297"/>
      <c r="AD41" s="300" t="s">
        <v>38</v>
      </c>
    </row>
    <row r="42" spans="2:30" x14ac:dyDescent="0.35">
      <c r="B42" s="185">
        <v>1</v>
      </c>
      <c r="C42" s="331" t="s">
        <v>89</v>
      </c>
      <c r="D42" s="331"/>
      <c r="E42" s="264">
        <f t="shared" ref="E42:AC42" si="11">SUM(E43:E47)</f>
        <v>6379.2458437499999</v>
      </c>
      <c r="F42" s="264">
        <f t="shared" si="11"/>
        <v>6678.8024999999998</v>
      </c>
      <c r="G42" s="264">
        <f t="shared" si="11"/>
        <v>6644.375682989692</v>
      </c>
      <c r="H42" s="264">
        <f t="shared" si="11"/>
        <v>6609.9488659793824</v>
      </c>
      <c r="I42" s="264">
        <f t="shared" si="11"/>
        <v>6575.5220489690728</v>
      </c>
      <c r="J42" s="264">
        <f t="shared" si="11"/>
        <v>6541.0952319587641</v>
      </c>
      <c r="K42" s="264">
        <f t="shared" si="11"/>
        <v>6506.6684149484536</v>
      </c>
      <c r="L42" s="264">
        <f t="shared" si="11"/>
        <v>6472.2415979381449</v>
      </c>
      <c r="M42" s="264">
        <f t="shared" si="11"/>
        <v>6437.8147809278362</v>
      </c>
      <c r="N42" s="264">
        <f t="shared" si="11"/>
        <v>6403.3879639175266</v>
      </c>
      <c r="O42" s="264">
        <f t="shared" si="11"/>
        <v>6368.9611469072179</v>
      </c>
      <c r="P42" s="264">
        <f t="shared" si="11"/>
        <v>6334.5343298969092</v>
      </c>
      <c r="Q42" s="264">
        <f t="shared" si="11"/>
        <v>6300.1075128865987</v>
      </c>
      <c r="R42" s="264">
        <f t="shared" si="11"/>
        <v>6265.6806958762891</v>
      </c>
      <c r="S42" s="264">
        <f t="shared" si="11"/>
        <v>6231.2538788659804</v>
      </c>
      <c r="T42" s="264">
        <f t="shared" si="11"/>
        <v>6196.8270618556717</v>
      </c>
      <c r="U42" s="264">
        <f t="shared" si="11"/>
        <v>6162.400244845363</v>
      </c>
      <c r="V42" s="264">
        <f t="shared" si="11"/>
        <v>6127.9734278350534</v>
      </c>
      <c r="W42" s="264">
        <f t="shared" si="11"/>
        <v>6093.5466108247429</v>
      </c>
      <c r="X42" s="264">
        <f t="shared" si="11"/>
        <v>6059.1197938144333</v>
      </c>
      <c r="Y42" s="264">
        <f t="shared" si="11"/>
        <v>6024.6929768041246</v>
      </c>
      <c r="Z42" s="264">
        <f t="shared" si="11"/>
        <v>5990.2661597938159</v>
      </c>
      <c r="AA42" s="264">
        <f t="shared" si="11"/>
        <v>5955.8393427835063</v>
      </c>
      <c r="AB42" s="264">
        <f t="shared" si="11"/>
        <v>5921.4125257731957</v>
      </c>
      <c r="AC42" s="264">
        <f t="shared" si="11"/>
        <v>8560.900649802219</v>
      </c>
      <c r="AD42" s="188">
        <f t="shared" ref="AD42:AD48" si="12">SUM(E42:AC42)</f>
        <v>159842.61928994401</v>
      </c>
    </row>
    <row r="43" spans="2:30" x14ac:dyDescent="0.35">
      <c r="B43" s="274" t="s">
        <v>90</v>
      </c>
      <c r="C43" s="331" t="s">
        <v>39</v>
      </c>
      <c r="D43" s="331"/>
      <c r="E43" s="264">
        <f t="shared" ref="E43:AC43" si="13">E6</f>
        <v>5645.35030420354</v>
      </c>
      <c r="F43" s="264">
        <f t="shared" si="13"/>
        <v>5910.4446902654863</v>
      </c>
      <c r="G43" s="264">
        <f t="shared" si="13"/>
        <v>5879.9784805218515</v>
      </c>
      <c r="H43" s="264">
        <f t="shared" si="13"/>
        <v>5849.5122707782148</v>
      </c>
      <c r="I43" s="264">
        <f t="shared" si="13"/>
        <v>5819.0460610345781</v>
      </c>
      <c r="J43" s="264">
        <f t="shared" si="13"/>
        <v>5788.5798512909414</v>
      </c>
      <c r="K43" s="264">
        <f t="shared" si="13"/>
        <v>5758.1136415473038</v>
      </c>
      <c r="L43" s="264">
        <f t="shared" si="13"/>
        <v>5727.647431803668</v>
      </c>
      <c r="M43" s="264">
        <f t="shared" si="13"/>
        <v>5697.1812220600323</v>
      </c>
      <c r="N43" s="264">
        <f t="shared" si="13"/>
        <v>5666.7150123163956</v>
      </c>
      <c r="O43" s="264">
        <f t="shared" si="13"/>
        <v>5636.2488025727589</v>
      </c>
      <c r="P43" s="264">
        <f t="shared" si="13"/>
        <v>5605.7825928291231</v>
      </c>
      <c r="Q43" s="264">
        <f t="shared" si="13"/>
        <v>5575.3163830854855</v>
      </c>
      <c r="R43" s="264">
        <f t="shared" si="13"/>
        <v>5544.8501733418489</v>
      </c>
      <c r="S43" s="264">
        <f t="shared" si="13"/>
        <v>5514.3839635982131</v>
      </c>
      <c r="T43" s="264">
        <f t="shared" si="13"/>
        <v>5483.9177538545764</v>
      </c>
      <c r="U43" s="264">
        <f t="shared" si="13"/>
        <v>5453.4515441109406</v>
      </c>
      <c r="V43" s="264">
        <f t="shared" si="13"/>
        <v>5422.9853343673039</v>
      </c>
      <c r="W43" s="264">
        <f t="shared" si="13"/>
        <v>5392.5191246236664</v>
      </c>
      <c r="X43" s="264">
        <f t="shared" si="13"/>
        <v>5362.0529148800297</v>
      </c>
      <c r="Y43" s="264">
        <f t="shared" si="13"/>
        <v>5331.586705136393</v>
      </c>
      <c r="Z43" s="264">
        <f t="shared" si="13"/>
        <v>5301.1204953927572</v>
      </c>
      <c r="AA43" s="264">
        <f t="shared" si="13"/>
        <v>5270.6542856491205</v>
      </c>
      <c r="AB43" s="264">
        <f t="shared" si="13"/>
        <v>5240.1880759054829</v>
      </c>
      <c r="AC43" s="264">
        <f t="shared" si="13"/>
        <v>5209.7218661618472</v>
      </c>
      <c r="AD43" s="188">
        <f t="shared" si="12"/>
        <v>139087.34898133154</v>
      </c>
    </row>
    <row r="44" spans="2:30" x14ac:dyDescent="0.35">
      <c r="B44" s="185"/>
      <c r="C44" s="296" t="s">
        <v>284</v>
      </c>
      <c r="D44" s="331"/>
      <c r="E44" s="264">
        <f>损益!G12</f>
        <v>0</v>
      </c>
      <c r="F44" s="264">
        <f>损益!H12</f>
        <v>0</v>
      </c>
      <c r="G44" s="264">
        <f>损益!I12</f>
        <v>0</v>
      </c>
      <c r="H44" s="264">
        <f>损益!J12</f>
        <v>0</v>
      </c>
      <c r="I44" s="264">
        <f>损益!K12</f>
        <v>0</v>
      </c>
      <c r="J44" s="264">
        <f>损益!L12</f>
        <v>0</v>
      </c>
      <c r="K44" s="264">
        <f>损益!M12</f>
        <v>0</v>
      </c>
      <c r="L44" s="264">
        <f>损益!N12</f>
        <v>0</v>
      </c>
      <c r="M44" s="264">
        <f>损益!O12</f>
        <v>0</v>
      </c>
      <c r="N44" s="264">
        <f>损益!P12</f>
        <v>0</v>
      </c>
      <c r="O44" s="264">
        <f>损益!Q12</f>
        <v>0</v>
      </c>
      <c r="P44" s="264">
        <f>损益!R12</f>
        <v>0</v>
      </c>
      <c r="Q44" s="264">
        <f>损益!S12</f>
        <v>0</v>
      </c>
      <c r="R44" s="264">
        <f>损益!T12</f>
        <v>0</v>
      </c>
      <c r="S44" s="264">
        <f>损益!U12</f>
        <v>0</v>
      </c>
      <c r="T44" s="264">
        <f>损益!V12</f>
        <v>0</v>
      </c>
      <c r="U44" s="264">
        <f>损益!W12</f>
        <v>0</v>
      </c>
      <c r="V44" s="264">
        <f>损益!X12</f>
        <v>0</v>
      </c>
      <c r="W44" s="264">
        <f>损益!Y12</f>
        <v>0</v>
      </c>
      <c r="X44" s="264">
        <f>损益!Z12</f>
        <v>0</v>
      </c>
      <c r="Y44" s="264">
        <f>损益!AA12</f>
        <v>0</v>
      </c>
      <c r="Z44" s="264">
        <f>损益!AB12</f>
        <v>0</v>
      </c>
      <c r="AA44" s="264">
        <f>损益!AC12</f>
        <v>0</v>
      </c>
      <c r="AB44" s="264">
        <f>损益!AD12</f>
        <v>0</v>
      </c>
      <c r="AC44" s="264">
        <f>损益!AE12</f>
        <v>0</v>
      </c>
      <c r="AD44" s="188">
        <f t="shared" si="12"/>
        <v>0</v>
      </c>
    </row>
    <row r="45" spans="2:30" x14ac:dyDescent="0.35">
      <c r="B45" s="185"/>
      <c r="C45" s="331" t="s">
        <v>91</v>
      </c>
      <c r="D45" s="331"/>
      <c r="E45" s="264">
        <f>损益!G37</f>
        <v>733.89553954646021</v>
      </c>
      <c r="F45" s="264">
        <f>损益!H37</f>
        <v>768.35780973451324</v>
      </c>
      <c r="G45" s="264">
        <f>损益!I37</f>
        <v>764.39720246784077</v>
      </c>
      <c r="H45" s="264">
        <f>损益!J37</f>
        <v>760.43659520116796</v>
      </c>
      <c r="I45" s="264">
        <f>损益!K37</f>
        <v>756.47598793449515</v>
      </c>
      <c r="J45" s="264">
        <f>损益!L37</f>
        <v>752.51538066782246</v>
      </c>
      <c r="K45" s="264">
        <f>损益!M37</f>
        <v>748.55477340114953</v>
      </c>
      <c r="L45" s="264">
        <f>损益!N37</f>
        <v>744.59416613447684</v>
      </c>
      <c r="M45" s="264">
        <f>损益!O37</f>
        <v>740.63355886780425</v>
      </c>
      <c r="N45" s="264">
        <f>损益!P37</f>
        <v>736.67295160113144</v>
      </c>
      <c r="O45" s="264">
        <f>损益!Q37</f>
        <v>732.71234433445863</v>
      </c>
      <c r="P45" s="264">
        <f>损益!R37</f>
        <v>728.75173706778605</v>
      </c>
      <c r="Q45" s="264">
        <f>损益!S37</f>
        <v>724.79112980111313</v>
      </c>
      <c r="R45" s="264">
        <f>损益!T37</f>
        <v>720.83052253444032</v>
      </c>
      <c r="S45" s="264">
        <f>损益!U37</f>
        <v>716.86991526776774</v>
      </c>
      <c r="T45" s="264">
        <f>损益!V37</f>
        <v>712.90930800109493</v>
      </c>
      <c r="U45" s="264">
        <f>损益!W37</f>
        <v>708.94870073442235</v>
      </c>
      <c r="V45" s="264">
        <f>损益!X37</f>
        <v>704.98809346774954</v>
      </c>
      <c r="W45" s="264">
        <f>损益!Y37</f>
        <v>701.02748620107661</v>
      </c>
      <c r="X45" s="264">
        <f>损益!Z37</f>
        <v>697.06687893440392</v>
      </c>
      <c r="Y45" s="264">
        <f>损益!AA37</f>
        <v>693.10627166773111</v>
      </c>
      <c r="Z45" s="264">
        <f>损益!AB37</f>
        <v>689.14566440105841</v>
      </c>
      <c r="AA45" s="264">
        <f>损益!AC37</f>
        <v>685.18505713438572</v>
      </c>
      <c r="AB45" s="264">
        <f>损益!AD37</f>
        <v>681.22444986771279</v>
      </c>
      <c r="AC45" s="264">
        <f>损益!AE37</f>
        <v>677.26384260104021</v>
      </c>
      <c r="AD45" s="188">
        <f t="shared" si="12"/>
        <v>18081.355367573105</v>
      </c>
    </row>
    <row r="46" spans="2:30" x14ac:dyDescent="0.35">
      <c r="B46" s="274" t="s">
        <v>92</v>
      </c>
      <c r="C46" s="331" t="s">
        <v>93</v>
      </c>
      <c r="D46" s="331"/>
      <c r="E46" s="264">
        <v>0</v>
      </c>
      <c r="F46" s="264">
        <f>F9</f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X46" s="264"/>
      <c r="Y46" s="184">
        <f>IF(参数表!$C$76=20,成本!Y31,0)</f>
        <v>0</v>
      </c>
      <c r="Z46" s="297"/>
      <c r="AA46" s="297"/>
      <c r="AB46" s="297"/>
      <c r="AC46" s="297">
        <f>IF(参数表!$C$76=25,成本!Y31,0)</f>
        <v>2673.914941039332</v>
      </c>
      <c r="AD46" s="188">
        <f t="shared" si="12"/>
        <v>2673.914941039332</v>
      </c>
    </row>
    <row r="47" spans="2:30" x14ac:dyDescent="0.35">
      <c r="B47" s="274" t="s">
        <v>94</v>
      </c>
      <c r="C47" s="331" t="s">
        <v>95</v>
      </c>
      <c r="D47" s="331"/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X47" s="264"/>
      <c r="Y47" s="264">
        <v>0</v>
      </c>
      <c r="Z47" s="297"/>
      <c r="AA47" s="297"/>
      <c r="AB47" s="297"/>
      <c r="AC47" s="297"/>
      <c r="AD47" s="188">
        <f t="shared" si="12"/>
        <v>0</v>
      </c>
    </row>
    <row r="48" spans="2:30" x14ac:dyDescent="0.35">
      <c r="B48" s="185"/>
      <c r="C48" s="331"/>
      <c r="D48" s="331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  <c r="Z48" s="297"/>
      <c r="AA48" s="297"/>
      <c r="AB48" s="297"/>
      <c r="AC48" s="297"/>
      <c r="AD48" s="188">
        <f t="shared" si="12"/>
        <v>0</v>
      </c>
    </row>
    <row r="49" spans="2:31" x14ac:dyDescent="0.35">
      <c r="B49" s="185">
        <v>2</v>
      </c>
      <c r="C49" s="331" t="s">
        <v>96</v>
      </c>
      <c r="D49" s="264">
        <f t="shared" ref="D49:AC49" si="14">SUM(D50:D58)</f>
        <v>11457.443741126881</v>
      </c>
      <c r="E49" s="264">
        <f t="shared" si="14"/>
        <v>5048.2284097709789</v>
      </c>
      <c r="F49" s="264">
        <f t="shared" si="14"/>
        <v>5368.6824196425832</v>
      </c>
      <c r="G49" s="264">
        <f t="shared" si="14"/>
        <v>5045.8033795141891</v>
      </c>
      <c r="H49" s="264">
        <f t="shared" si="14"/>
        <v>5549.640137509723</v>
      </c>
      <c r="I49" s="264">
        <f t="shared" si="14"/>
        <v>5229.6414087885378</v>
      </c>
      <c r="J49" s="264">
        <f t="shared" si="14"/>
        <v>5584.7814459039892</v>
      </c>
      <c r="K49" s="264">
        <f t="shared" si="14"/>
        <v>5356.2917245383878</v>
      </c>
      <c r="L49" s="264">
        <f t="shared" si="14"/>
        <v>6336.4011281189605</v>
      </c>
      <c r="M49" s="264">
        <f t="shared" si="14"/>
        <v>6277.3060059455165</v>
      </c>
      <c r="N49" s="264">
        <f t="shared" si="14"/>
        <v>6663.9140046149805</v>
      </c>
      <c r="O49" s="264">
        <f t="shared" si="14"/>
        <v>6325.6267948483783</v>
      </c>
      <c r="P49" s="264">
        <f t="shared" si="14"/>
        <v>6731.5643920067732</v>
      </c>
      <c r="Q49" s="264">
        <f t="shared" si="14"/>
        <v>6378.708385453785</v>
      </c>
      <c r="R49" s="264">
        <f t="shared" si="14"/>
        <v>6800.2155595297099</v>
      </c>
      <c r="S49" s="264">
        <f t="shared" si="14"/>
        <v>6162.4772931222551</v>
      </c>
      <c r="T49" s="264">
        <f t="shared" si="14"/>
        <v>3202.6189843257566</v>
      </c>
      <c r="U49" s="264">
        <f t="shared" si="14"/>
        <v>2345.2213219633663</v>
      </c>
      <c r="V49" s="264">
        <f t="shared" si="14"/>
        <v>2750.4846096796578</v>
      </c>
      <c r="W49" s="264">
        <f t="shared" si="14"/>
        <v>2317.1508640492007</v>
      </c>
      <c r="X49" s="264">
        <f t="shared" si="14"/>
        <v>2735.4311803428145</v>
      </c>
      <c r="Y49" s="264">
        <f t="shared" si="14"/>
        <v>2896.1221929424764</v>
      </c>
      <c r="Z49" s="264">
        <f t="shared" si="14"/>
        <v>3325.8256494333018</v>
      </c>
      <c r="AA49" s="264">
        <f t="shared" si="14"/>
        <v>2872.3737824473119</v>
      </c>
      <c r="AB49" s="264">
        <f t="shared" si="14"/>
        <v>3321.3962616391918</v>
      </c>
      <c r="AC49" s="264">
        <f t="shared" si="14"/>
        <v>2845.8655115662823</v>
      </c>
      <c r="AD49" s="188">
        <f>SUM(D49:AC49)</f>
        <v>128929.21658882496</v>
      </c>
    </row>
    <row r="50" spans="2:31" x14ac:dyDescent="0.35">
      <c r="B50" s="274" t="s">
        <v>41</v>
      </c>
      <c r="C50" s="331" t="s">
        <v>2</v>
      </c>
      <c r="D50" s="264">
        <f>投资计划!F11</f>
        <v>11457.443741126881</v>
      </c>
      <c r="E50" s="264">
        <f>投资计划!G11</f>
        <v>0</v>
      </c>
      <c r="F50" s="264">
        <v>0</v>
      </c>
      <c r="G50" s="264">
        <v>0</v>
      </c>
      <c r="H50" s="264">
        <v>0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64">
        <v>0</v>
      </c>
      <c r="O50" s="264">
        <v>0</v>
      </c>
      <c r="P50" s="264">
        <v>0</v>
      </c>
      <c r="Q50" s="264">
        <v>0</v>
      </c>
      <c r="R50" s="264">
        <v>0</v>
      </c>
      <c r="S50" s="264">
        <v>0</v>
      </c>
      <c r="T50" s="264">
        <v>0</v>
      </c>
      <c r="U50" s="264">
        <v>0</v>
      </c>
      <c r="V50" s="264">
        <v>0</v>
      </c>
      <c r="W50" s="264">
        <v>0</v>
      </c>
      <c r="X50" s="264">
        <v>0</v>
      </c>
      <c r="Y50" s="264">
        <v>0</v>
      </c>
      <c r="Z50" s="264">
        <v>0</v>
      </c>
      <c r="AA50" s="264">
        <v>0</v>
      </c>
      <c r="AB50" s="264">
        <v>0</v>
      </c>
      <c r="AC50" s="264">
        <v>0</v>
      </c>
      <c r="AD50" s="188">
        <f>SUM(D50:AC50)</f>
        <v>11457.443741126881</v>
      </c>
    </row>
    <row r="51" spans="2:31" x14ac:dyDescent="0.35">
      <c r="B51" s="274" t="s">
        <v>42</v>
      </c>
      <c r="C51" s="331" t="s">
        <v>120</v>
      </c>
      <c r="D51" s="331"/>
      <c r="E51" s="264">
        <f>还贷!E10-财务计划!E22+财务计划!E28</f>
        <v>2159.0125918833614</v>
      </c>
      <c r="F51" s="264">
        <f>还贷!F10-财务计划!F22+财务计划!F28</f>
        <v>2259.4066774059374</v>
      </c>
      <c r="G51" s="264">
        <f>还贷!G10-财务计划!G22+财务计划!G28</f>
        <v>2364.4690879053137</v>
      </c>
      <c r="H51" s="264">
        <f>还贷!H10-财务计划!H22+财务计划!H28</f>
        <v>2474.4169004929108</v>
      </c>
      <c r="I51" s="264">
        <f>还贷!I10-财务计划!I22+财务计划!I28</f>
        <v>2589.4772863658313</v>
      </c>
      <c r="J51" s="264">
        <f>还贷!J10-财务计划!J22+财务计划!J28</f>
        <v>2709.8879801818425</v>
      </c>
      <c r="K51" s="264">
        <f>还贷!K10-财务计划!K22+财务计划!K28</f>
        <v>2835.8977712602982</v>
      </c>
      <c r="L51" s="264">
        <f>还贷!L10-财务计划!L22+财务计划!L28</f>
        <v>2967.7670176239021</v>
      </c>
      <c r="M51" s="264">
        <f>还贷!M10-财务计划!M22+财务计划!M28</f>
        <v>3105.7681839434135</v>
      </c>
      <c r="N51" s="264">
        <f>还贷!N10-财务计划!N22+财务计划!N28</f>
        <v>3250.186404496782</v>
      </c>
      <c r="O51" s="264">
        <f>还贷!O10-财务计划!O22+财务计划!O28</f>
        <v>3401.3200723058826</v>
      </c>
      <c r="P51" s="264">
        <f>还贷!P10-财务计划!P22+财务计划!P28</f>
        <v>3559.4814556681058</v>
      </c>
      <c r="Q51" s="264">
        <f>还贷!Q10-财务计划!Q22+财务计划!Q28</f>
        <v>3724.9973433566729</v>
      </c>
      <c r="R51" s="264">
        <f>还贷!R10-财务计划!R22+财务计划!R28</f>
        <v>3898.209719822758</v>
      </c>
      <c r="S51" s="264">
        <f>还贷!S10-财务计划!S22+财务计划!S28</f>
        <v>3649.4170460172982</v>
      </c>
      <c r="T51" s="264">
        <f>还贷!T10-财务计划!T22+财务计划!T28</f>
        <v>430.05942577721817</v>
      </c>
      <c r="U51" s="264">
        <f>还贷!U10-财务计划!U22+财务计划!U28</f>
        <v>0</v>
      </c>
      <c r="V51" s="264">
        <f>还贷!V10-财务计划!V22+财务计划!V28</f>
        <v>0</v>
      </c>
      <c r="W51" s="264">
        <f>还贷!W10-财务计划!W22+财务计划!W28</f>
        <v>0</v>
      </c>
      <c r="X51" s="264">
        <f>还贷!X10-还贷!X18+还贷!X20</f>
        <v>0</v>
      </c>
      <c r="Y51" s="264">
        <f>还贷!Y10-还贷!Y18+还贷!Y20</f>
        <v>0</v>
      </c>
      <c r="Z51" s="264">
        <f>还贷!Z10-还贷!Z18+还贷!Z20</f>
        <v>0</v>
      </c>
      <c r="AA51" s="264">
        <f>还贷!AA10-还贷!AA18+还贷!AA20</f>
        <v>0</v>
      </c>
      <c r="AB51" s="264">
        <f>还贷!AB10-还贷!AB18+还贷!AB20</f>
        <v>0</v>
      </c>
      <c r="AC51" s="264">
        <f>还贷!AC10-还贷!AC18+还贷!AC20</f>
        <v>0</v>
      </c>
      <c r="AD51" s="188">
        <f>SUM(E51:AC51)</f>
        <v>45379.774964507524</v>
      </c>
    </row>
    <row r="52" spans="2:31" x14ac:dyDescent="0.35">
      <c r="B52" s="274" t="s">
        <v>121</v>
      </c>
      <c r="C52" s="331" t="s">
        <v>122</v>
      </c>
      <c r="D52" s="331"/>
      <c r="E52" s="264">
        <f>成本!E13</f>
        <v>2129.7345358496</v>
      </c>
      <c r="F52" s="264">
        <f>成本!F13</f>
        <v>2029.340450327024</v>
      </c>
      <c r="G52" s="264">
        <f>成本!G13</f>
        <v>1924.2780398276479</v>
      </c>
      <c r="H52" s="264">
        <f>成本!H13</f>
        <v>1814.3302272400506</v>
      </c>
      <c r="I52" s="264">
        <f>成本!I13</f>
        <v>1699.2698413671303</v>
      </c>
      <c r="J52" s="264">
        <f>成本!J13</f>
        <v>1578.8591475511191</v>
      </c>
      <c r="K52" s="264">
        <f>成本!K13</f>
        <v>1452.8493564726634</v>
      </c>
      <c r="L52" s="264">
        <f>成本!L13</f>
        <v>1320.9801101090595</v>
      </c>
      <c r="M52" s="264">
        <f>成本!M13</f>
        <v>1182.9789437895481</v>
      </c>
      <c r="N52" s="264">
        <f>成本!N13</f>
        <v>1038.5607232361795</v>
      </c>
      <c r="O52" s="264">
        <f>成本!O13</f>
        <v>887.42705542707927</v>
      </c>
      <c r="P52" s="264">
        <f>成本!P13</f>
        <v>729.26567206485572</v>
      </c>
      <c r="Q52" s="264">
        <f>成本!Q13</f>
        <v>563.74978437628886</v>
      </c>
      <c r="R52" s="264">
        <f>成本!R13</f>
        <v>390.53740791020346</v>
      </c>
      <c r="S52" s="264">
        <f>成本!S13</f>
        <v>209.27065593844523</v>
      </c>
      <c r="T52" s="264">
        <f>成本!T13</f>
        <v>38.282585021309217</v>
      </c>
      <c r="U52" s="264">
        <f>成本!U13</f>
        <v>19.57500000000023</v>
      </c>
      <c r="V52" s="264">
        <f>成本!V13</f>
        <v>19.57500000000023</v>
      </c>
      <c r="W52" s="264">
        <f>成本!W13</f>
        <v>19.57500000000023</v>
      </c>
      <c r="X52" s="264">
        <f>成本!X13</f>
        <v>19.57500000000023</v>
      </c>
      <c r="Y52" s="264">
        <f>成本!Y13</f>
        <v>19.57500000000023</v>
      </c>
      <c r="Z52" s="264">
        <f>成本!Z13</f>
        <v>19.57500000000023</v>
      </c>
      <c r="AA52" s="264">
        <f>成本!AA13</f>
        <v>19.57500000000023</v>
      </c>
      <c r="AB52" s="264">
        <f>成本!AB13</f>
        <v>19.57500000000023</v>
      </c>
      <c r="AC52" s="264">
        <f>成本!AC13</f>
        <v>19.57500000000023</v>
      </c>
      <c r="AD52" s="188">
        <f>SUM(E52:AC52)</f>
        <v>19165.889536508213</v>
      </c>
    </row>
    <row r="53" spans="2:31" x14ac:dyDescent="0.35">
      <c r="B53" s="274" t="s">
        <v>99</v>
      </c>
      <c r="C53" s="331" t="s">
        <v>6</v>
      </c>
      <c r="D53" s="331"/>
      <c r="E53" s="264">
        <f>成本!E22</f>
        <v>759.48128203801753</v>
      </c>
      <c r="F53" s="264">
        <f>成本!F22</f>
        <v>758.26876690962251</v>
      </c>
      <c r="G53" s="264">
        <f>成本!G22</f>
        <v>757.05625178122762</v>
      </c>
      <c r="H53" s="264">
        <f>成本!H22</f>
        <v>857.95027378082682</v>
      </c>
      <c r="I53" s="264">
        <f>成本!I22</f>
        <v>856.73775865243192</v>
      </c>
      <c r="J53" s="264">
        <f>成本!J22</f>
        <v>855.52524352403702</v>
      </c>
      <c r="K53" s="264">
        <f>成本!K22</f>
        <v>854.31272839564201</v>
      </c>
      <c r="L53" s="264">
        <f>成本!L22</f>
        <v>853.10021326724711</v>
      </c>
      <c r="M53" s="264">
        <f>成本!M22</f>
        <v>953.99423526684632</v>
      </c>
      <c r="N53" s="264">
        <f>成本!N22</f>
        <v>952.78172013845142</v>
      </c>
      <c r="O53" s="264">
        <f>成本!O22</f>
        <v>951.56920501005652</v>
      </c>
      <c r="P53" s="264">
        <f>成本!P22</f>
        <v>950.35668988166151</v>
      </c>
      <c r="Q53" s="264">
        <f>成本!Q22</f>
        <v>949.14417475326661</v>
      </c>
      <c r="R53" s="264">
        <f>成本!R22</f>
        <v>947.9316596248716</v>
      </c>
      <c r="S53" s="264">
        <f>成本!S22</f>
        <v>1150.9322187524649</v>
      </c>
      <c r="T53" s="264">
        <f>成本!T22</f>
        <v>1149.71970362407</v>
      </c>
      <c r="U53" s="264">
        <f>成本!U22</f>
        <v>1148.5071884956751</v>
      </c>
      <c r="V53" s="264">
        <f>成本!V22</f>
        <v>1147.2946733672802</v>
      </c>
      <c r="W53" s="264">
        <f>成本!W22</f>
        <v>1146.0821582388853</v>
      </c>
      <c r="X53" s="264">
        <f>成本!X22</f>
        <v>1144.8696431104904</v>
      </c>
      <c r="Y53" s="264">
        <f>成本!Y22</f>
        <v>1144.8696431104904</v>
      </c>
      <c r="Z53" s="264">
        <f>成本!Z22</f>
        <v>1144.8696431104904</v>
      </c>
      <c r="AA53" s="264">
        <f>成本!AA22</f>
        <v>1144.8696431104904</v>
      </c>
      <c r="AB53" s="264">
        <f>成本!AB22</f>
        <v>1144.8696431104904</v>
      </c>
      <c r="AC53" s="264">
        <f>成本!AC22</f>
        <v>1144.8696431104904</v>
      </c>
      <c r="AD53" s="188">
        <f>SUM(E53:AC53)</f>
        <v>24869.964004165526</v>
      </c>
    </row>
    <row r="54" spans="2:31" x14ac:dyDescent="0.35">
      <c r="B54" s="274"/>
      <c r="C54" s="331" t="s">
        <v>260</v>
      </c>
      <c r="D54" s="264"/>
      <c r="E54" s="264">
        <f>E16</f>
        <v>0</v>
      </c>
      <c r="F54" s="331">
        <f t="shared" ref="F54:AC54" si="15">F16</f>
        <v>321.66652500000004</v>
      </c>
      <c r="G54" s="331">
        <f t="shared" si="15"/>
        <v>0</v>
      </c>
      <c r="H54" s="331">
        <f t="shared" si="15"/>
        <v>329.51205000000004</v>
      </c>
      <c r="I54" s="331">
        <f t="shared" si="15"/>
        <v>0</v>
      </c>
      <c r="J54" s="331">
        <f t="shared" si="15"/>
        <v>345.98765250000002</v>
      </c>
      <c r="K54" s="331">
        <f t="shared" si="15"/>
        <v>0</v>
      </c>
      <c r="L54" s="331">
        <f t="shared" si="15"/>
        <v>354.63734381250003</v>
      </c>
      <c r="M54" s="331">
        <f t="shared" si="15"/>
        <v>0</v>
      </c>
      <c r="N54" s="264">
        <f t="shared" si="15"/>
        <v>363.28703512500005</v>
      </c>
      <c r="O54" s="331">
        <f t="shared" si="15"/>
        <v>0</v>
      </c>
      <c r="P54" s="331">
        <f t="shared" si="15"/>
        <v>381.45138688125002</v>
      </c>
      <c r="Q54" s="331">
        <f t="shared" si="15"/>
        <v>0</v>
      </c>
      <c r="R54" s="331">
        <f t="shared" si="15"/>
        <v>390.9876715532813</v>
      </c>
      <c r="S54" s="331">
        <f t="shared" si="15"/>
        <v>0</v>
      </c>
      <c r="T54" s="331">
        <f t="shared" si="15"/>
        <v>400.52395622531259</v>
      </c>
      <c r="U54" s="331">
        <f t="shared" si="15"/>
        <v>0</v>
      </c>
      <c r="V54" s="331">
        <f t="shared" si="15"/>
        <v>420.55015403657814</v>
      </c>
      <c r="W54" s="331">
        <f t="shared" si="15"/>
        <v>0</v>
      </c>
      <c r="X54" s="331">
        <f t="shared" si="15"/>
        <v>431.06390788749263</v>
      </c>
      <c r="Y54" s="331">
        <f t="shared" si="15"/>
        <v>0</v>
      </c>
      <c r="Z54" s="331">
        <f t="shared" si="15"/>
        <v>441.57766173840713</v>
      </c>
      <c r="AA54" s="331">
        <f t="shared" si="15"/>
        <v>0</v>
      </c>
      <c r="AB54" s="331">
        <f t="shared" si="15"/>
        <v>463.65654482532744</v>
      </c>
      <c r="AC54" s="331">
        <f t="shared" si="15"/>
        <v>0</v>
      </c>
      <c r="AD54" s="188"/>
    </row>
    <row r="55" spans="2:31" x14ac:dyDescent="0.35">
      <c r="B55" s="274" t="s">
        <v>100</v>
      </c>
      <c r="C55" s="331" t="s">
        <v>123</v>
      </c>
      <c r="D55" s="331"/>
      <c r="E55" s="264">
        <f>损益!G40</f>
        <v>0</v>
      </c>
      <c r="F55" s="264">
        <f>损益!H40</f>
        <v>0</v>
      </c>
      <c r="G55" s="264">
        <f>损益!I40</f>
        <v>0</v>
      </c>
      <c r="H55" s="264">
        <f>损益!J40</f>
        <v>0</v>
      </c>
      <c r="I55" s="264">
        <f>损益!K40</f>
        <v>0</v>
      </c>
      <c r="J55" s="264">
        <f>损益!L40</f>
        <v>0</v>
      </c>
      <c r="K55" s="264">
        <f>损益!M40</f>
        <v>0</v>
      </c>
      <c r="L55" s="264">
        <f>损益!N40</f>
        <v>559.09831345058183</v>
      </c>
      <c r="M55" s="264">
        <f>损益!O40</f>
        <v>740.63355886780425</v>
      </c>
      <c r="N55" s="264">
        <f>损益!P40</f>
        <v>736.67295160113144</v>
      </c>
      <c r="O55" s="264">
        <f>损益!Q40</f>
        <v>732.71234433445863</v>
      </c>
      <c r="P55" s="264">
        <f>损益!R40</f>
        <v>728.75173706778605</v>
      </c>
      <c r="Q55" s="264">
        <f>损益!S40</f>
        <v>724.79112980111313</v>
      </c>
      <c r="R55" s="264">
        <f>损益!T40</f>
        <v>720.83052253444032</v>
      </c>
      <c r="S55" s="264">
        <f>损益!U40</f>
        <v>716.86991526776774</v>
      </c>
      <c r="T55" s="264">
        <f>损益!V40</f>
        <v>712.90930800109493</v>
      </c>
      <c r="U55" s="264">
        <f>损益!W40</f>
        <v>708.94870073442235</v>
      </c>
      <c r="V55" s="264">
        <f>损益!X40</f>
        <v>704.98809346774954</v>
      </c>
      <c r="W55" s="264">
        <f>损益!Y40</f>
        <v>701.02748620107661</v>
      </c>
      <c r="X55" s="264">
        <f>损益!Z40</f>
        <v>697.06687893440392</v>
      </c>
      <c r="Y55" s="264">
        <f>损益!AA40</f>
        <v>693.10627166773111</v>
      </c>
      <c r="Z55" s="264">
        <f>损益!AB40</f>
        <v>689.14566440105841</v>
      </c>
      <c r="AA55" s="264">
        <f>损益!AC40</f>
        <v>685.18505713438572</v>
      </c>
      <c r="AB55" s="264">
        <f>损益!AD40</f>
        <v>681.22444986771279</v>
      </c>
      <c r="AC55" s="264">
        <f>损益!AE40</f>
        <v>677.26384260104021</v>
      </c>
      <c r="AD55" s="188">
        <f>SUM(E55:AC55)</f>
        <v>12611.226225935758</v>
      </c>
    </row>
    <row r="56" spans="2:31" x14ac:dyDescent="0.35">
      <c r="B56" s="274" t="s">
        <v>101</v>
      </c>
      <c r="C56" s="331" t="s">
        <v>40</v>
      </c>
      <c r="D56" s="331"/>
      <c r="E56" s="264">
        <f>损益!G9</f>
        <v>0</v>
      </c>
      <c r="F56" s="264">
        <f>损益!H9</f>
        <v>0</v>
      </c>
      <c r="G56" s="264">
        <f>损益!I9</f>
        <v>0</v>
      </c>
      <c r="H56" s="264">
        <f>损益!J9</f>
        <v>0</v>
      </c>
      <c r="I56" s="264">
        <f>损益!K9</f>
        <v>0</v>
      </c>
      <c r="J56" s="264">
        <f>损益!L9</f>
        <v>0</v>
      </c>
      <c r="K56" s="264">
        <f>损益!M9</f>
        <v>0</v>
      </c>
      <c r="L56" s="264">
        <f>损益!N9</f>
        <v>55.909831345058187</v>
      </c>
      <c r="M56" s="264">
        <f>损益!O9</f>
        <v>74.063355886780428</v>
      </c>
      <c r="N56" s="264">
        <f>损益!P9</f>
        <v>73.667295160113142</v>
      </c>
      <c r="O56" s="264">
        <f>损益!Q9</f>
        <v>73.271234433445869</v>
      </c>
      <c r="P56" s="264">
        <f>损益!R9</f>
        <v>72.875173706778611</v>
      </c>
      <c r="Q56" s="264">
        <f>损益!S9</f>
        <v>72.47911298011131</v>
      </c>
      <c r="R56" s="264">
        <f>损益!T9</f>
        <v>72.083052253444038</v>
      </c>
      <c r="S56" s="264">
        <f>损益!U9</f>
        <v>71.686991526776779</v>
      </c>
      <c r="T56" s="264">
        <f>损益!V9</f>
        <v>71.290930800109493</v>
      </c>
      <c r="U56" s="264">
        <f>损益!W9</f>
        <v>70.894870073442235</v>
      </c>
      <c r="V56" s="264">
        <f>损益!X9</f>
        <v>70.498809346774962</v>
      </c>
      <c r="W56" s="264">
        <f>损益!Y9</f>
        <v>70.102748620107661</v>
      </c>
      <c r="X56" s="264">
        <f>损益!Z9</f>
        <v>69.706687893440389</v>
      </c>
      <c r="Y56" s="264">
        <f>损益!AA9</f>
        <v>69.310627166773116</v>
      </c>
      <c r="Z56" s="264">
        <f>损益!AB9</f>
        <v>68.914566440105844</v>
      </c>
      <c r="AA56" s="264">
        <f>损益!AC9</f>
        <v>68.518505713438572</v>
      </c>
      <c r="AB56" s="264">
        <f>损益!AD9</f>
        <v>68.122444986771285</v>
      </c>
      <c r="AC56" s="264">
        <f>损益!AE9</f>
        <v>67.726384260104027</v>
      </c>
      <c r="AD56" s="188">
        <f>SUM(E56:AC56)</f>
        <v>1261.1226225935759</v>
      </c>
    </row>
    <row r="57" spans="2:31" x14ac:dyDescent="0.35">
      <c r="B57" s="274" t="s">
        <v>124</v>
      </c>
      <c r="C57" s="331" t="s">
        <v>48</v>
      </c>
      <c r="D57" s="331"/>
      <c r="E57" s="264">
        <f>损益!G21</f>
        <v>0</v>
      </c>
      <c r="F57" s="264">
        <f>损益!H21</f>
        <v>0</v>
      </c>
      <c r="G57" s="264">
        <f>损益!I21</f>
        <v>0</v>
      </c>
      <c r="H57" s="264">
        <f>损益!J21</f>
        <v>73.430685995934596</v>
      </c>
      <c r="I57" s="264">
        <f>损益!K21</f>
        <v>84.156522403144322</v>
      </c>
      <c r="J57" s="264">
        <f>损益!L21</f>
        <v>94.521422146990517</v>
      </c>
      <c r="K57" s="264">
        <f>损益!M21</f>
        <v>213.23186840978428</v>
      </c>
      <c r="L57" s="264">
        <f>损益!N21</f>
        <v>224.90829851061039</v>
      </c>
      <c r="M57" s="264">
        <f>损益!O21</f>
        <v>219.86772819112412</v>
      </c>
      <c r="N57" s="264">
        <f>损益!P21</f>
        <v>248.7578748573228</v>
      </c>
      <c r="O57" s="264">
        <f>损益!Q21</f>
        <v>279.32688333745409</v>
      </c>
      <c r="P57" s="264">
        <f>损益!R21</f>
        <v>309.38227673633537</v>
      </c>
      <c r="Q57" s="264">
        <f>损益!S21</f>
        <v>343.54684018633316</v>
      </c>
      <c r="R57" s="264">
        <f>损益!T21</f>
        <v>379.635525830711</v>
      </c>
      <c r="S57" s="264">
        <f>损益!U21</f>
        <v>364.30046561950223</v>
      </c>
      <c r="T57" s="264">
        <f>损益!V21</f>
        <v>399.83307487664251</v>
      </c>
      <c r="U57" s="264">
        <f>损益!W21</f>
        <v>397.29556265982637</v>
      </c>
      <c r="V57" s="264">
        <f>损益!X21</f>
        <v>387.57787946127473</v>
      </c>
      <c r="W57" s="264">
        <f>损益!Y21</f>
        <v>380.36347098913086</v>
      </c>
      <c r="X57" s="264">
        <f>损益!Z21</f>
        <v>373.14906251698721</v>
      </c>
      <c r="Y57" s="264">
        <f>损益!AA21</f>
        <v>969.26065099748143</v>
      </c>
      <c r="Z57" s="264">
        <f>损益!AB21</f>
        <v>961.74311374323929</v>
      </c>
      <c r="AA57" s="264">
        <f>损益!AC21</f>
        <v>954.22557648899692</v>
      </c>
      <c r="AB57" s="264">
        <f>损益!AD21</f>
        <v>943.94817884888926</v>
      </c>
      <c r="AC57" s="264">
        <f>损益!AE21</f>
        <v>936.43064159464711</v>
      </c>
      <c r="AD57" s="188">
        <f>SUM(E57:AC57)</f>
        <v>9538.8936044023631</v>
      </c>
      <c r="AE57" s="302">
        <f>AD57+AD55+AD56</f>
        <v>23411.242452931696</v>
      </c>
    </row>
    <row r="58" spans="2:31" x14ac:dyDescent="0.35">
      <c r="B58" s="185">
        <v>2.9</v>
      </c>
      <c r="C58" s="331" t="s">
        <v>257</v>
      </c>
      <c r="D58" s="331"/>
      <c r="E58" s="264">
        <f>E13</f>
        <v>0</v>
      </c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97"/>
      <c r="AA58" s="297"/>
      <c r="AB58" s="297"/>
      <c r="AC58" s="297"/>
      <c r="AD58" s="188"/>
    </row>
    <row r="59" spans="2:31" x14ac:dyDescent="0.35">
      <c r="B59" s="305">
        <v>3</v>
      </c>
      <c r="C59" s="332" t="s">
        <v>105</v>
      </c>
      <c r="D59" s="307">
        <f t="shared" ref="D59:AC59" si="16">D42-D49</f>
        <v>-11457.443741126881</v>
      </c>
      <c r="E59" s="307">
        <f t="shared" si="16"/>
        <v>1331.017433979021</v>
      </c>
      <c r="F59" s="307">
        <f t="shared" si="16"/>
        <v>1310.1200803574166</v>
      </c>
      <c r="G59" s="307">
        <f t="shared" si="16"/>
        <v>1598.5723034755028</v>
      </c>
      <c r="H59" s="307">
        <f t="shared" si="16"/>
        <v>1060.3087284696594</v>
      </c>
      <c r="I59" s="307">
        <f t="shared" si="16"/>
        <v>1345.880640180535</v>
      </c>
      <c r="J59" s="307">
        <f t="shared" si="16"/>
        <v>956.31378605477494</v>
      </c>
      <c r="K59" s="307">
        <f t="shared" si="16"/>
        <v>1150.3766904100657</v>
      </c>
      <c r="L59" s="307">
        <f t="shared" si="16"/>
        <v>135.84046981918436</v>
      </c>
      <c r="M59" s="307">
        <f t="shared" si="16"/>
        <v>160.50877498231966</v>
      </c>
      <c r="N59" s="307">
        <f t="shared" si="16"/>
        <v>-260.52604069745394</v>
      </c>
      <c r="O59" s="307">
        <f t="shared" si="16"/>
        <v>43.334352058839613</v>
      </c>
      <c r="P59" s="307">
        <f t="shared" si="16"/>
        <v>-397.03006210986405</v>
      </c>
      <c r="Q59" s="307">
        <f t="shared" si="16"/>
        <v>-78.600872567186343</v>
      </c>
      <c r="R59" s="307">
        <f t="shared" si="16"/>
        <v>-534.53486365342087</v>
      </c>
      <c r="S59" s="307">
        <f t="shared" si="16"/>
        <v>68.776585743725263</v>
      </c>
      <c r="T59" s="307">
        <f t="shared" si="16"/>
        <v>2994.208077529915</v>
      </c>
      <c r="U59" s="307">
        <f t="shared" si="16"/>
        <v>3817.1789228819966</v>
      </c>
      <c r="V59" s="307">
        <f t="shared" si="16"/>
        <v>3377.4888181553956</v>
      </c>
      <c r="W59" s="307">
        <f t="shared" si="16"/>
        <v>3776.3957467755422</v>
      </c>
      <c r="X59" s="307">
        <f t="shared" si="16"/>
        <v>3323.6886134716187</v>
      </c>
      <c r="Y59" s="307">
        <f t="shared" si="16"/>
        <v>3128.5707838616481</v>
      </c>
      <c r="Z59" s="307">
        <f t="shared" si="16"/>
        <v>2664.4405103605141</v>
      </c>
      <c r="AA59" s="307">
        <f t="shared" si="16"/>
        <v>3083.4655603361944</v>
      </c>
      <c r="AB59" s="307">
        <f t="shared" si="16"/>
        <v>2600.0162641340039</v>
      </c>
      <c r="AC59" s="307">
        <f t="shared" si="16"/>
        <v>5715.0351382359368</v>
      </c>
      <c r="AD59" s="188">
        <f>SUM(D59:AC59)</f>
        <v>30913.402701119001</v>
      </c>
    </row>
    <row r="60" spans="2:31" ht="18" customHeight="1" thickBot="1" x14ac:dyDescent="0.4">
      <c r="B60" s="333" t="s">
        <v>106</v>
      </c>
      <c r="C60" s="334" t="s">
        <v>107</v>
      </c>
      <c r="D60" s="335">
        <f>D59</f>
        <v>-11457.443741126881</v>
      </c>
      <c r="E60" s="335">
        <f t="shared" ref="E60:AC60" si="17">D60+E59</f>
        <v>-10126.42630714786</v>
      </c>
      <c r="F60" s="335">
        <f t="shared" si="17"/>
        <v>-8816.3062267904425</v>
      </c>
      <c r="G60" s="335">
        <f t="shared" si="17"/>
        <v>-7217.7339233149396</v>
      </c>
      <c r="H60" s="335">
        <f t="shared" si="17"/>
        <v>-6157.4251948452802</v>
      </c>
      <c r="I60" s="335">
        <f t="shared" si="17"/>
        <v>-4811.5445546647452</v>
      </c>
      <c r="J60" s="335">
        <f t="shared" si="17"/>
        <v>-3855.2307686099703</v>
      </c>
      <c r="K60" s="335">
        <f t="shared" si="17"/>
        <v>-2704.8540781999045</v>
      </c>
      <c r="L60" s="335">
        <f t="shared" si="17"/>
        <v>-2569.0136083807201</v>
      </c>
      <c r="M60" s="335">
        <f t="shared" si="17"/>
        <v>-2408.5048333984005</v>
      </c>
      <c r="N60" s="335">
        <f t="shared" si="17"/>
        <v>-2669.0308740958544</v>
      </c>
      <c r="O60" s="335">
        <f t="shared" si="17"/>
        <v>-2625.6965220370148</v>
      </c>
      <c r="P60" s="335">
        <f t="shared" si="17"/>
        <v>-3022.7265841468788</v>
      </c>
      <c r="Q60" s="335">
        <f t="shared" si="17"/>
        <v>-3101.3274567140652</v>
      </c>
      <c r="R60" s="335">
        <f t="shared" si="17"/>
        <v>-3635.8623203674861</v>
      </c>
      <c r="S60" s="335">
        <f t="shared" si="17"/>
        <v>-3567.0857346237608</v>
      </c>
      <c r="T60" s="335">
        <f t="shared" si="17"/>
        <v>-572.87765709384576</v>
      </c>
      <c r="U60" s="335">
        <f t="shared" si="17"/>
        <v>3244.3012657881509</v>
      </c>
      <c r="V60" s="335">
        <f t="shared" si="17"/>
        <v>6621.7900839435461</v>
      </c>
      <c r="W60" s="335">
        <f t="shared" si="17"/>
        <v>10398.185830719089</v>
      </c>
      <c r="X60" s="335">
        <f t="shared" si="17"/>
        <v>13721.874444190707</v>
      </c>
      <c r="Y60" s="335">
        <f t="shared" si="17"/>
        <v>16850.445228052355</v>
      </c>
      <c r="Z60" s="335">
        <f t="shared" si="17"/>
        <v>19514.885738412868</v>
      </c>
      <c r="AA60" s="335">
        <f t="shared" si="17"/>
        <v>22598.351298749061</v>
      </c>
      <c r="AB60" s="335">
        <f t="shared" si="17"/>
        <v>25198.367562883064</v>
      </c>
      <c r="AC60" s="335">
        <f t="shared" si="17"/>
        <v>30913.402701119001</v>
      </c>
      <c r="AD60" s="336" t="s">
        <v>38</v>
      </c>
    </row>
    <row r="61" spans="2:31" x14ac:dyDescent="0.3">
      <c r="B61" s="311"/>
      <c r="C61" s="337" t="s">
        <v>125</v>
      </c>
      <c r="D61" s="338"/>
      <c r="E61" s="339"/>
      <c r="F61" s="339"/>
      <c r="G61" s="311"/>
      <c r="H61" s="340">
        <f>IRR(D59:AC59)</f>
        <v>9.5588553534437404E-2</v>
      </c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1"/>
      <c r="AC61" s="311"/>
      <c r="AD61" s="311"/>
    </row>
    <row r="62" spans="2:31" x14ac:dyDescent="0.35">
      <c r="B62" s="319"/>
      <c r="C62" s="341" t="s">
        <v>126</v>
      </c>
      <c r="D62" s="342"/>
      <c r="E62" s="343"/>
      <c r="F62" s="344" t="s">
        <v>127</v>
      </c>
      <c r="G62" s="345">
        <v>0.08</v>
      </c>
      <c r="H62" s="346">
        <f>NPV(G62,D59:AC59)</f>
        <v>1908.709312658254</v>
      </c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</row>
    <row r="63" spans="2:31" x14ac:dyDescent="0.35">
      <c r="B63" s="319"/>
      <c r="C63" s="341"/>
      <c r="D63" s="342"/>
      <c r="E63" s="343"/>
      <c r="F63" s="344"/>
      <c r="G63" s="345"/>
      <c r="H63" s="346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  <c r="AC63" s="319"/>
      <c r="AD63" s="319"/>
    </row>
    <row r="64" spans="2:31" x14ac:dyDescent="0.3">
      <c r="B64" s="319"/>
      <c r="C64" s="341"/>
      <c r="D64" s="342"/>
      <c r="E64" s="342"/>
      <c r="F64" s="342"/>
      <c r="G64" s="342" t="s">
        <v>548</v>
      </c>
      <c r="H64" s="485">
        <f>IRR(D59:Y59)*100</f>
        <v>7.807749175342571</v>
      </c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19"/>
    </row>
    <row r="65" spans="2:30" x14ac:dyDescent="0.35">
      <c r="B65" s="319"/>
      <c r="C65" s="347"/>
      <c r="D65" s="342"/>
      <c r="E65" s="343"/>
      <c r="F65" s="344"/>
      <c r="G65" s="345"/>
      <c r="H65" s="346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  <c r="AD65" s="319"/>
    </row>
    <row r="66" spans="2:30" x14ac:dyDescent="0.3">
      <c r="B66" s="319"/>
      <c r="C66" s="347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  <c r="AC66" s="342"/>
      <c r="AD66" s="319"/>
    </row>
    <row r="67" spans="2:30" x14ac:dyDescent="0.3">
      <c r="C67" s="348"/>
      <c r="D67" s="493">
        <f>(参数表!C77+参数表!C78/(1.09)*(1-0.09*0.1))*(1-参数表!C72)</f>
        <v>2573.3944954128438</v>
      </c>
    </row>
    <row r="68" spans="2:30" x14ac:dyDescent="0.3">
      <c r="D68" s="493">
        <f>D67+D59</f>
        <v>-8884.0492457140372</v>
      </c>
      <c r="E68" s="493">
        <f t="shared" ref="E68:AC68" si="18">E67+E59</f>
        <v>1331.017433979021</v>
      </c>
      <c r="F68" s="493">
        <f t="shared" si="18"/>
        <v>1310.1200803574166</v>
      </c>
      <c r="G68" s="493">
        <f t="shared" si="18"/>
        <v>1598.5723034755028</v>
      </c>
      <c r="H68" s="493">
        <f t="shared" si="18"/>
        <v>1060.3087284696594</v>
      </c>
      <c r="I68" s="493">
        <f t="shared" si="18"/>
        <v>1345.880640180535</v>
      </c>
      <c r="J68" s="493">
        <f t="shared" si="18"/>
        <v>956.31378605477494</v>
      </c>
      <c r="K68" s="493">
        <f t="shared" si="18"/>
        <v>1150.3766904100657</v>
      </c>
      <c r="L68" s="493">
        <f t="shared" si="18"/>
        <v>135.84046981918436</v>
      </c>
      <c r="M68" s="493">
        <f t="shared" si="18"/>
        <v>160.50877498231966</v>
      </c>
      <c r="N68" s="493">
        <f t="shared" si="18"/>
        <v>-260.52604069745394</v>
      </c>
      <c r="O68" s="493">
        <f t="shared" si="18"/>
        <v>43.334352058839613</v>
      </c>
      <c r="P68" s="493">
        <f t="shared" si="18"/>
        <v>-397.03006210986405</v>
      </c>
      <c r="Q68" s="493">
        <f t="shared" si="18"/>
        <v>-78.600872567186343</v>
      </c>
      <c r="R68" s="493">
        <f t="shared" si="18"/>
        <v>-534.53486365342087</v>
      </c>
      <c r="S68" s="493">
        <f t="shared" si="18"/>
        <v>68.776585743725263</v>
      </c>
      <c r="T68" s="493">
        <f t="shared" si="18"/>
        <v>2994.208077529915</v>
      </c>
      <c r="U68" s="493">
        <f t="shared" si="18"/>
        <v>3817.1789228819966</v>
      </c>
      <c r="V68" s="493">
        <f t="shared" si="18"/>
        <v>3377.4888181553956</v>
      </c>
      <c r="W68" s="493">
        <f t="shared" si="18"/>
        <v>3776.3957467755422</v>
      </c>
      <c r="X68" s="493">
        <f t="shared" si="18"/>
        <v>3323.6886134716187</v>
      </c>
      <c r="Y68" s="493">
        <f t="shared" si="18"/>
        <v>3128.5707838616481</v>
      </c>
      <c r="Z68" s="493">
        <f t="shared" si="18"/>
        <v>2664.4405103605141</v>
      </c>
      <c r="AA68" s="493">
        <f t="shared" si="18"/>
        <v>3083.4655603361944</v>
      </c>
      <c r="AB68" s="493">
        <f t="shared" si="18"/>
        <v>2600.0162641340039</v>
      </c>
      <c r="AC68" s="493">
        <f t="shared" si="18"/>
        <v>5715.0351382359368</v>
      </c>
    </row>
    <row r="69" spans="2:30" x14ac:dyDescent="0.3">
      <c r="D69" s="349">
        <f>IRR(D68:AC68)</f>
        <v>0.12353621703282047</v>
      </c>
    </row>
    <row r="71" spans="2:30" x14ac:dyDescent="0.3">
      <c r="B71" s="319"/>
      <c r="C71" s="350"/>
      <c r="D71" s="351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</row>
    <row r="72" spans="2:30" x14ac:dyDescent="0.3">
      <c r="B72" s="319"/>
      <c r="C72" s="350"/>
      <c r="D72" s="351"/>
      <c r="E72" s="319"/>
      <c r="F72" s="319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  <c r="AC72" s="319"/>
      <c r="AD72" s="319"/>
    </row>
    <row r="73" spans="2:30" x14ac:dyDescent="0.3">
      <c r="B73" s="319"/>
      <c r="C73" s="350"/>
      <c r="D73" s="351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319"/>
      <c r="AD73" s="319"/>
    </row>
    <row r="74" spans="2:30" x14ac:dyDescent="0.3">
      <c r="B74" s="319"/>
      <c r="C74" s="350"/>
      <c r="D74" s="351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319"/>
      <c r="AB74" s="319"/>
      <c r="AC74" s="319"/>
      <c r="AD74" s="319"/>
    </row>
    <row r="75" spans="2:30" x14ac:dyDescent="0.3">
      <c r="B75" s="319"/>
      <c r="C75" s="350"/>
      <c r="D75" s="351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  <c r="AC75" s="319"/>
      <c r="AD75" s="319"/>
    </row>
    <row r="76" spans="2:30" x14ac:dyDescent="0.3">
      <c r="B76" s="319"/>
      <c r="C76" s="350"/>
      <c r="D76" s="351"/>
      <c r="E76" s="319"/>
      <c r="F76" s="319"/>
      <c r="G76" s="319"/>
      <c r="H76" s="319"/>
      <c r="I76" s="319"/>
      <c r="J76" s="319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319"/>
      <c r="AB76" s="319"/>
      <c r="AC76" s="319"/>
      <c r="AD76" s="319"/>
    </row>
    <row r="77" spans="2:30" x14ac:dyDescent="0.3">
      <c r="B77" s="319"/>
      <c r="C77" s="350"/>
      <c r="D77" s="351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  <c r="AC77" s="319"/>
      <c r="AD77" s="319"/>
    </row>
    <row r="78" spans="2:30" x14ac:dyDescent="0.3">
      <c r="B78" s="319"/>
      <c r="C78" s="350"/>
      <c r="D78" s="351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  <c r="AC78" s="319"/>
      <c r="AD78" s="319"/>
    </row>
    <row r="79" spans="2:30" x14ac:dyDescent="0.3">
      <c r="B79" s="319"/>
      <c r="C79" s="350"/>
      <c r="D79" s="351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</row>
    <row r="80" spans="2:30" ht="17.149999999999999" customHeight="1" x14ac:dyDescent="0.3">
      <c r="B80" s="548" t="s">
        <v>128</v>
      </c>
      <c r="C80" s="548"/>
      <c r="D80" s="548"/>
      <c r="E80" s="548"/>
      <c r="F80" s="548"/>
      <c r="G80" s="548"/>
      <c r="H80" s="548"/>
      <c r="I80" s="548"/>
      <c r="J80" s="548"/>
      <c r="K80" s="548"/>
      <c r="L80" s="548"/>
      <c r="M80" s="548"/>
      <c r="N80" s="548"/>
      <c r="O80" s="548"/>
      <c r="P80" s="548"/>
      <c r="Q80" s="548"/>
      <c r="R80" s="548"/>
      <c r="S80" s="548"/>
      <c r="T80" s="548"/>
      <c r="U80" s="548"/>
      <c r="V80" s="548"/>
      <c r="W80" s="548"/>
      <c r="X80" s="548"/>
      <c r="Y80" s="548"/>
      <c r="Z80" s="548"/>
      <c r="AA80" s="548"/>
      <c r="AB80" s="548"/>
      <c r="AC80" s="548"/>
      <c r="AD80" s="548"/>
    </row>
    <row r="81" spans="2:30" ht="14.6" thickBot="1" x14ac:dyDescent="0.35"/>
    <row r="82" spans="2:30" x14ac:dyDescent="0.3">
      <c r="B82" s="558" t="s">
        <v>0</v>
      </c>
      <c r="C82" s="551" t="s">
        <v>7</v>
      </c>
      <c r="D82" s="352"/>
      <c r="E82" s="553" t="s">
        <v>68</v>
      </c>
      <c r="F82" s="553"/>
      <c r="G82" s="553"/>
      <c r="H82" s="551" t="s">
        <v>34</v>
      </c>
      <c r="I82" s="553"/>
      <c r="J82" s="553"/>
      <c r="K82" s="553"/>
      <c r="L82" s="553"/>
      <c r="M82" s="553"/>
      <c r="N82" s="553"/>
      <c r="O82" s="553"/>
      <c r="P82" s="553"/>
      <c r="Q82" s="553"/>
      <c r="R82" s="553"/>
      <c r="S82" s="553"/>
      <c r="T82" s="553"/>
      <c r="U82" s="553"/>
      <c r="V82" s="553"/>
      <c r="W82" s="553"/>
      <c r="X82" s="553"/>
      <c r="Y82" s="553"/>
      <c r="Z82" s="353"/>
      <c r="AA82" s="353"/>
      <c r="AB82" s="353"/>
      <c r="AC82" s="353"/>
      <c r="AD82" s="549" t="s">
        <v>11</v>
      </c>
    </row>
    <row r="83" spans="2:30" x14ac:dyDescent="0.3">
      <c r="B83" s="559"/>
      <c r="C83" s="552"/>
      <c r="D83" s="354">
        <f t="shared" ref="D83:AC83" si="19">D40</f>
        <v>1</v>
      </c>
      <c r="E83" s="354">
        <f t="shared" si="19"/>
        <v>1</v>
      </c>
      <c r="F83" s="354">
        <f t="shared" si="19"/>
        <v>2</v>
      </c>
      <c r="G83" s="354">
        <f t="shared" si="19"/>
        <v>3</v>
      </c>
      <c r="H83" s="354">
        <f t="shared" si="19"/>
        <v>4</v>
      </c>
      <c r="I83" s="354">
        <f t="shared" si="19"/>
        <v>5</v>
      </c>
      <c r="J83" s="354">
        <f t="shared" si="19"/>
        <v>6</v>
      </c>
      <c r="K83" s="354">
        <f t="shared" si="19"/>
        <v>7</v>
      </c>
      <c r="L83" s="354">
        <f t="shared" si="19"/>
        <v>8</v>
      </c>
      <c r="M83" s="354">
        <f t="shared" si="19"/>
        <v>9</v>
      </c>
      <c r="N83" s="354">
        <f t="shared" si="19"/>
        <v>10</v>
      </c>
      <c r="O83" s="354">
        <f t="shared" si="19"/>
        <v>11</v>
      </c>
      <c r="P83" s="354">
        <f t="shared" si="19"/>
        <v>12</v>
      </c>
      <c r="Q83" s="354">
        <f t="shared" si="19"/>
        <v>13</v>
      </c>
      <c r="R83" s="354">
        <f t="shared" si="19"/>
        <v>14</v>
      </c>
      <c r="S83" s="354">
        <f t="shared" si="19"/>
        <v>15</v>
      </c>
      <c r="T83" s="354">
        <f t="shared" si="19"/>
        <v>16</v>
      </c>
      <c r="U83" s="354">
        <f t="shared" si="19"/>
        <v>17</v>
      </c>
      <c r="V83" s="354">
        <f t="shared" si="19"/>
        <v>18</v>
      </c>
      <c r="W83" s="354">
        <f t="shared" si="19"/>
        <v>19</v>
      </c>
      <c r="X83" s="354">
        <f t="shared" si="19"/>
        <v>20</v>
      </c>
      <c r="Y83" s="354">
        <f t="shared" si="19"/>
        <v>21</v>
      </c>
      <c r="Z83" s="354">
        <f t="shared" si="19"/>
        <v>22</v>
      </c>
      <c r="AA83" s="354">
        <f t="shared" si="19"/>
        <v>23</v>
      </c>
      <c r="AB83" s="354">
        <f t="shared" si="19"/>
        <v>24</v>
      </c>
      <c r="AC83" s="354">
        <f t="shared" si="19"/>
        <v>25</v>
      </c>
      <c r="AD83" s="550"/>
    </row>
    <row r="84" spans="2:30" x14ac:dyDescent="0.35">
      <c r="B84" s="355">
        <v>1</v>
      </c>
      <c r="C84" s="356" t="s">
        <v>89</v>
      </c>
      <c r="D84" s="356"/>
      <c r="E84" s="357">
        <f>E85+E86</f>
        <v>212.71985450319949</v>
      </c>
      <c r="F84" s="357">
        <f>F85+F86</f>
        <v>389.44419569206462</v>
      </c>
      <c r="G84" s="357">
        <f t="shared" ref="G84:AC84" si="20">G85+G86</f>
        <v>438.37769312864293</v>
      </c>
      <c r="H84" s="357">
        <f t="shared" si="20"/>
        <v>370.09065741951036</v>
      </c>
      <c r="I84" s="357">
        <f t="shared" si="20"/>
        <v>424.14887291184743</v>
      </c>
      <c r="J84" s="357">
        <f t="shared" si="20"/>
        <v>476.38796762083223</v>
      </c>
      <c r="K84" s="357">
        <f t="shared" si="20"/>
        <v>460.58083576513411</v>
      </c>
      <c r="L84" s="357">
        <f t="shared" si="20"/>
        <v>485.80192478291849</v>
      </c>
      <c r="M84" s="357">
        <f t="shared" si="20"/>
        <v>474.91429289282809</v>
      </c>
      <c r="N84" s="357">
        <f t="shared" si="20"/>
        <v>537.31700969181736</v>
      </c>
      <c r="O84" s="357">
        <f t="shared" si="20"/>
        <v>603.34606800890094</v>
      </c>
      <c r="P84" s="357">
        <f t="shared" si="20"/>
        <v>668.26571775048444</v>
      </c>
      <c r="Q84" s="357">
        <f t="shared" si="20"/>
        <v>742.06117480247963</v>
      </c>
      <c r="R84" s="357">
        <f t="shared" si="20"/>
        <v>820.01273579433587</v>
      </c>
      <c r="S84" s="357">
        <f t="shared" si="20"/>
        <v>786.88900573812498</v>
      </c>
      <c r="T84" s="357">
        <f t="shared" si="20"/>
        <v>863.63944173354776</v>
      </c>
      <c r="U84" s="357">
        <f t="shared" si="20"/>
        <v>858.15841534522497</v>
      </c>
      <c r="V84" s="357">
        <f t="shared" si="20"/>
        <v>837.16821963635346</v>
      </c>
      <c r="W84" s="357">
        <f t="shared" si="20"/>
        <v>821.58509733652284</v>
      </c>
      <c r="X84" s="357">
        <f t="shared" si="20"/>
        <v>806.00197503669244</v>
      </c>
      <c r="Y84" s="357">
        <f t="shared" si="20"/>
        <v>2093.6030061545603</v>
      </c>
      <c r="Z84" s="357">
        <f t="shared" si="20"/>
        <v>2077.3651256853968</v>
      </c>
      <c r="AA84" s="357">
        <f t="shared" si="20"/>
        <v>2061.1272452162334</v>
      </c>
      <c r="AB84" s="357">
        <f t="shared" si="20"/>
        <v>2038.9280663136008</v>
      </c>
      <c r="AC84" s="357">
        <f t="shared" si="20"/>
        <v>22022.91184328463</v>
      </c>
      <c r="AD84" s="358" t="s">
        <v>38</v>
      </c>
    </row>
    <row r="85" spans="2:30" x14ac:dyDescent="0.35">
      <c r="B85" s="359">
        <v>1.1000000000000001</v>
      </c>
      <c r="C85" s="360" t="s">
        <v>129</v>
      </c>
      <c r="D85" s="360"/>
      <c r="E85" s="361">
        <f>损益!G32</f>
        <v>212.71985450319949</v>
      </c>
      <c r="F85" s="361">
        <f>损益!H32</f>
        <v>389.44419569206462</v>
      </c>
      <c r="G85" s="361">
        <f>损益!I32</f>
        <v>438.37769312864293</v>
      </c>
      <c r="H85" s="361">
        <f>损益!J32</f>
        <v>370.09065741951036</v>
      </c>
      <c r="I85" s="361">
        <f>损益!K32</f>
        <v>424.14887291184743</v>
      </c>
      <c r="J85" s="361">
        <f>损益!L32</f>
        <v>476.38796762083223</v>
      </c>
      <c r="K85" s="361">
        <f>损益!M32</f>
        <v>460.58083576513411</v>
      </c>
      <c r="L85" s="361">
        <f>损益!N32</f>
        <v>485.80192478291849</v>
      </c>
      <c r="M85" s="361">
        <f>损益!O32</f>
        <v>474.91429289282809</v>
      </c>
      <c r="N85" s="361">
        <f>损益!P32</f>
        <v>537.31700969181736</v>
      </c>
      <c r="O85" s="361">
        <f>损益!Q32</f>
        <v>603.34606800890094</v>
      </c>
      <c r="P85" s="361">
        <f>损益!R32</f>
        <v>668.26571775048444</v>
      </c>
      <c r="Q85" s="361">
        <f>损益!S32</f>
        <v>742.06117480247963</v>
      </c>
      <c r="R85" s="361">
        <f>损益!T32</f>
        <v>820.01273579433587</v>
      </c>
      <c r="S85" s="361">
        <f>损益!U32</f>
        <v>786.88900573812498</v>
      </c>
      <c r="T85" s="361">
        <f>损益!V32</f>
        <v>863.63944173354776</v>
      </c>
      <c r="U85" s="361">
        <f>损益!W32</f>
        <v>858.15841534522497</v>
      </c>
      <c r="V85" s="361">
        <f>损益!X32</f>
        <v>837.16821963635346</v>
      </c>
      <c r="W85" s="361">
        <f>损益!Y32</f>
        <v>821.58509733652284</v>
      </c>
      <c r="X85" s="361">
        <f>损益!Z32</f>
        <v>806.00197503669244</v>
      </c>
      <c r="Y85" s="361">
        <f>损益!AA32</f>
        <v>2093.6030061545603</v>
      </c>
      <c r="Z85" s="361">
        <f>损益!AB32</f>
        <v>2077.3651256853968</v>
      </c>
      <c r="AA85" s="361">
        <f>损益!AC32</f>
        <v>2061.1272452162334</v>
      </c>
      <c r="AB85" s="361">
        <f>损益!AD32</f>
        <v>2038.9280663136008</v>
      </c>
      <c r="AC85" s="361">
        <f>损益!AE32</f>
        <v>2022.6901858444378</v>
      </c>
      <c r="AD85" s="188">
        <f>SUM(E85:AC85)</f>
        <v>22370.624784805688</v>
      </c>
    </row>
    <row r="86" spans="2:30" x14ac:dyDescent="0.35">
      <c r="B86" s="362">
        <v>1.2</v>
      </c>
      <c r="C86" s="360" t="s">
        <v>130</v>
      </c>
      <c r="D86" s="360"/>
      <c r="E86" s="363"/>
      <c r="F86" s="363">
        <f>F87+F88+F89+F90</f>
        <v>0</v>
      </c>
      <c r="G86" s="363">
        <f t="shared" ref="G86:AB86" si="21">G87+G88+G89+G90</f>
        <v>0</v>
      </c>
      <c r="H86" s="363">
        <f t="shared" si="21"/>
        <v>0</v>
      </c>
      <c r="I86" s="363">
        <f t="shared" si="21"/>
        <v>0</v>
      </c>
      <c r="J86" s="363">
        <f t="shared" si="21"/>
        <v>0</v>
      </c>
      <c r="K86" s="363">
        <f t="shared" si="21"/>
        <v>0</v>
      </c>
      <c r="L86" s="363">
        <f t="shared" si="21"/>
        <v>0</v>
      </c>
      <c r="M86" s="363">
        <f t="shared" si="21"/>
        <v>0</v>
      </c>
      <c r="N86" s="363">
        <f t="shared" si="21"/>
        <v>0</v>
      </c>
      <c r="O86" s="363">
        <f t="shared" si="21"/>
        <v>0</v>
      </c>
      <c r="P86" s="363">
        <f t="shared" si="21"/>
        <v>0</v>
      </c>
      <c r="Q86" s="363">
        <f t="shared" si="21"/>
        <v>0</v>
      </c>
      <c r="R86" s="363">
        <f t="shared" si="21"/>
        <v>0</v>
      </c>
      <c r="S86" s="363">
        <f t="shared" si="21"/>
        <v>0</v>
      </c>
      <c r="T86" s="363">
        <f t="shared" si="21"/>
        <v>0</v>
      </c>
      <c r="U86" s="363">
        <f t="shared" si="21"/>
        <v>0</v>
      </c>
      <c r="V86" s="363">
        <f t="shared" si="21"/>
        <v>0</v>
      </c>
      <c r="W86" s="363">
        <f t="shared" si="21"/>
        <v>0</v>
      </c>
      <c r="X86" s="363">
        <f t="shared" si="21"/>
        <v>0</v>
      </c>
      <c r="Y86" s="363">
        <f t="shared" si="21"/>
        <v>0</v>
      </c>
      <c r="Z86" s="363">
        <f t="shared" si="21"/>
        <v>0</v>
      </c>
      <c r="AA86" s="363">
        <f t="shared" si="21"/>
        <v>0</v>
      </c>
      <c r="AB86" s="363">
        <f t="shared" si="21"/>
        <v>0</v>
      </c>
      <c r="AC86" s="297">
        <f>AC87+AC88+AC90</f>
        <v>20000.221657440194</v>
      </c>
      <c r="AD86" s="232"/>
    </row>
    <row r="87" spans="2:30" ht="24.9" x14ac:dyDescent="0.35">
      <c r="B87" s="364" t="s">
        <v>131</v>
      </c>
      <c r="C87" s="360" t="s">
        <v>258</v>
      </c>
      <c r="D87" s="360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1"/>
      <c r="Y87" s="363"/>
      <c r="Z87" s="365"/>
      <c r="AA87" s="365"/>
      <c r="AB87" s="365"/>
      <c r="AC87" s="297">
        <f>AC9</f>
        <v>2673.914941039332</v>
      </c>
      <c r="AD87" s="232"/>
    </row>
    <row r="88" spans="2:30" ht="24.9" x14ac:dyDescent="0.35">
      <c r="B88" s="364" t="s">
        <v>132</v>
      </c>
      <c r="C88" s="360" t="s">
        <v>259</v>
      </c>
      <c r="D88" s="360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/>
      <c r="W88" s="363"/>
      <c r="X88" s="129"/>
      <c r="Y88" s="363"/>
      <c r="Z88" s="366"/>
      <c r="AA88" s="366"/>
      <c r="AB88" s="366"/>
      <c r="AC88" s="297">
        <f>财务计划!AC34</f>
        <v>17326.306716400861</v>
      </c>
      <c r="AD88" s="232"/>
    </row>
    <row r="89" spans="2:30" x14ac:dyDescent="0.35">
      <c r="B89" s="364" t="s">
        <v>133</v>
      </c>
      <c r="C89" s="360" t="s">
        <v>134</v>
      </c>
      <c r="D89" s="360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7"/>
      <c r="Y89" s="363"/>
      <c r="Z89" s="368"/>
      <c r="AA89" s="368"/>
      <c r="AB89" s="368"/>
      <c r="AC89" s="297">
        <v>0</v>
      </c>
      <c r="AD89" s="232"/>
    </row>
    <row r="90" spans="2:30" x14ac:dyDescent="0.35">
      <c r="B90" s="364" t="s">
        <v>135</v>
      </c>
      <c r="C90" s="360" t="s">
        <v>136</v>
      </c>
      <c r="D90" s="360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7"/>
      <c r="Z90" s="368"/>
      <c r="AA90" s="368"/>
      <c r="AB90" s="368"/>
      <c r="AC90" s="297">
        <v>0</v>
      </c>
      <c r="AD90" s="232"/>
    </row>
    <row r="91" spans="2:30" x14ac:dyDescent="0.3">
      <c r="B91" s="355">
        <v>2</v>
      </c>
      <c r="C91" s="360" t="s">
        <v>96</v>
      </c>
      <c r="D91" s="367">
        <f>D92+D93</f>
        <v>11457.443741126881</v>
      </c>
      <c r="E91" s="367">
        <f>E92+E93</f>
        <v>0</v>
      </c>
      <c r="F91" s="363"/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9"/>
      <c r="AA91" s="369"/>
      <c r="AB91" s="369"/>
      <c r="AC91" s="369"/>
      <c r="AD91" s="232"/>
    </row>
    <row r="92" spans="2:30" x14ac:dyDescent="0.3">
      <c r="B92" s="362">
        <v>2.1</v>
      </c>
      <c r="C92" s="360" t="s">
        <v>137</v>
      </c>
      <c r="D92" s="360">
        <f>D50</f>
        <v>11457.443741126881</v>
      </c>
      <c r="E92" s="360">
        <v>0</v>
      </c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9"/>
      <c r="AA92" s="369"/>
      <c r="AB92" s="369"/>
      <c r="AC92" s="369"/>
      <c r="AD92" s="232"/>
    </row>
    <row r="93" spans="2:30" x14ac:dyDescent="0.3">
      <c r="B93" s="362">
        <v>2.2000000000000002</v>
      </c>
      <c r="C93" s="360" t="s">
        <v>138</v>
      </c>
      <c r="D93" s="360"/>
      <c r="E93" s="367">
        <f>投资计划!G13</f>
        <v>0</v>
      </c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9"/>
      <c r="AA93" s="369"/>
      <c r="AB93" s="369"/>
      <c r="AC93" s="369"/>
      <c r="AD93" s="232"/>
    </row>
    <row r="94" spans="2:30" x14ac:dyDescent="0.3">
      <c r="B94" s="355">
        <v>3</v>
      </c>
      <c r="C94" s="360" t="s">
        <v>105</v>
      </c>
      <c r="D94" s="129">
        <f>D84-D91</f>
        <v>-11457.443741126881</v>
      </c>
      <c r="E94" s="129">
        <f>E84-E91</f>
        <v>212.71985450319949</v>
      </c>
      <c r="F94" s="129">
        <f t="shared" ref="F94:AC94" si="22">F84-F91</f>
        <v>389.44419569206462</v>
      </c>
      <c r="G94" s="129">
        <f t="shared" si="22"/>
        <v>438.37769312864293</v>
      </c>
      <c r="H94" s="129">
        <f t="shared" si="22"/>
        <v>370.09065741951036</v>
      </c>
      <c r="I94" s="129">
        <f t="shared" si="22"/>
        <v>424.14887291184743</v>
      </c>
      <c r="J94" s="129">
        <f t="shared" si="22"/>
        <v>476.38796762083223</v>
      </c>
      <c r="K94" s="129">
        <f t="shared" si="22"/>
        <v>460.58083576513411</v>
      </c>
      <c r="L94" s="129">
        <f t="shared" si="22"/>
        <v>485.80192478291849</v>
      </c>
      <c r="M94" s="129">
        <f t="shared" si="22"/>
        <v>474.91429289282809</v>
      </c>
      <c r="N94" s="129">
        <f t="shared" si="22"/>
        <v>537.31700969181736</v>
      </c>
      <c r="O94" s="129">
        <f t="shared" si="22"/>
        <v>603.34606800890094</v>
      </c>
      <c r="P94" s="129">
        <f t="shared" si="22"/>
        <v>668.26571775048444</v>
      </c>
      <c r="Q94" s="129">
        <f t="shared" si="22"/>
        <v>742.06117480247963</v>
      </c>
      <c r="R94" s="129">
        <f t="shared" si="22"/>
        <v>820.01273579433587</v>
      </c>
      <c r="S94" s="129">
        <f t="shared" si="22"/>
        <v>786.88900573812498</v>
      </c>
      <c r="T94" s="129">
        <f t="shared" si="22"/>
        <v>863.63944173354776</v>
      </c>
      <c r="U94" s="129">
        <f t="shared" si="22"/>
        <v>858.15841534522497</v>
      </c>
      <c r="V94" s="129">
        <f t="shared" si="22"/>
        <v>837.16821963635346</v>
      </c>
      <c r="W94" s="129">
        <f t="shared" si="22"/>
        <v>821.58509733652284</v>
      </c>
      <c r="X94" s="129">
        <f t="shared" si="22"/>
        <v>806.00197503669244</v>
      </c>
      <c r="Y94" s="129">
        <f t="shared" si="22"/>
        <v>2093.6030061545603</v>
      </c>
      <c r="Z94" s="129">
        <f t="shared" si="22"/>
        <v>2077.3651256853968</v>
      </c>
      <c r="AA94" s="129">
        <f t="shared" si="22"/>
        <v>2061.1272452162334</v>
      </c>
      <c r="AB94" s="129">
        <f t="shared" si="22"/>
        <v>2038.9280663136008</v>
      </c>
      <c r="AC94" s="129">
        <f t="shared" si="22"/>
        <v>22022.91184328463</v>
      </c>
      <c r="AD94" s="232"/>
    </row>
    <row r="95" spans="2:30" ht="14.6" thickBot="1" x14ac:dyDescent="0.35">
      <c r="B95" s="370">
        <v>4</v>
      </c>
      <c r="C95" s="371" t="s">
        <v>139</v>
      </c>
      <c r="D95" s="372">
        <f>D94</f>
        <v>-11457.443741126881</v>
      </c>
      <c r="E95" s="372">
        <f>E94+D95</f>
        <v>-11244.723886623682</v>
      </c>
      <c r="F95" s="372">
        <f>F94+E95</f>
        <v>-10855.279690931617</v>
      </c>
      <c r="G95" s="372">
        <f t="shared" ref="G95:AC95" si="23">G94+F95</f>
        <v>-10416.901997802974</v>
      </c>
      <c r="H95" s="372">
        <f t="shared" si="23"/>
        <v>-10046.811340383463</v>
      </c>
      <c r="I95" s="372">
        <f t="shared" si="23"/>
        <v>-9622.6624674716149</v>
      </c>
      <c r="J95" s="372">
        <f t="shared" si="23"/>
        <v>-9146.2744998507824</v>
      </c>
      <c r="K95" s="372">
        <f t="shared" si="23"/>
        <v>-8685.6936640856475</v>
      </c>
      <c r="L95" s="372">
        <f t="shared" si="23"/>
        <v>-8199.8917393027295</v>
      </c>
      <c r="M95" s="372">
        <f t="shared" si="23"/>
        <v>-7724.9774464099019</v>
      </c>
      <c r="N95" s="372">
        <f t="shared" si="23"/>
        <v>-7187.6604367180844</v>
      </c>
      <c r="O95" s="372">
        <f t="shared" si="23"/>
        <v>-6584.3143687091833</v>
      </c>
      <c r="P95" s="372">
        <f t="shared" si="23"/>
        <v>-5916.048650958699</v>
      </c>
      <c r="Q95" s="372">
        <f t="shared" si="23"/>
        <v>-5173.9874761562196</v>
      </c>
      <c r="R95" s="372">
        <f t="shared" si="23"/>
        <v>-4353.974740361884</v>
      </c>
      <c r="S95" s="372">
        <f t="shared" si="23"/>
        <v>-3567.085734623759</v>
      </c>
      <c r="T95" s="372">
        <f t="shared" si="23"/>
        <v>-2703.4462928902112</v>
      </c>
      <c r="U95" s="372">
        <f t="shared" si="23"/>
        <v>-1845.2878775449863</v>
      </c>
      <c r="V95" s="372">
        <f t="shared" si="23"/>
        <v>-1008.1196579086328</v>
      </c>
      <c r="W95" s="372">
        <f t="shared" si="23"/>
        <v>-186.53456057210997</v>
      </c>
      <c r="X95" s="372">
        <f t="shared" si="23"/>
        <v>619.46741446458248</v>
      </c>
      <c r="Y95" s="372">
        <f t="shared" si="23"/>
        <v>2713.0704206191426</v>
      </c>
      <c r="Z95" s="372">
        <f t="shared" si="23"/>
        <v>4790.4355463045395</v>
      </c>
      <c r="AA95" s="372">
        <f t="shared" si="23"/>
        <v>6851.5627915207733</v>
      </c>
      <c r="AB95" s="372">
        <f t="shared" si="23"/>
        <v>8890.4908578343748</v>
      </c>
      <c r="AC95" s="372">
        <f t="shared" si="23"/>
        <v>30913.402701119005</v>
      </c>
      <c r="AD95" s="373"/>
    </row>
    <row r="97" spans="3:8" x14ac:dyDescent="0.3">
      <c r="C97" s="341" t="s">
        <v>140</v>
      </c>
      <c r="D97" s="342"/>
      <c r="E97" s="343"/>
      <c r="F97" s="343"/>
      <c r="H97" s="374">
        <f>IRR(D94:AC94)</f>
        <v>7.0287445409879634E-2</v>
      </c>
    </row>
    <row r="98" spans="3:8" x14ac:dyDescent="0.35">
      <c r="C98" s="341" t="s">
        <v>141</v>
      </c>
      <c r="D98" s="342"/>
      <c r="E98" s="343"/>
      <c r="F98" s="344" t="s">
        <v>127</v>
      </c>
      <c r="G98" s="345">
        <v>0.08</v>
      </c>
      <c r="H98" s="346">
        <f>NPV(G98,D94:AC94)</f>
        <v>-1511.6988896797836</v>
      </c>
    </row>
  </sheetData>
  <mergeCells count="19">
    <mergeCell ref="N30:O30"/>
    <mergeCell ref="B82:B83"/>
    <mergeCell ref="B1:AD1"/>
    <mergeCell ref="E3:AC3"/>
    <mergeCell ref="N29:O29"/>
    <mergeCell ref="C3:C4"/>
    <mergeCell ref="B3:B4"/>
    <mergeCell ref="AD3:AD4"/>
    <mergeCell ref="C82:C83"/>
    <mergeCell ref="B39:B40"/>
    <mergeCell ref="N31:O31"/>
    <mergeCell ref="B37:AD37"/>
    <mergeCell ref="AD82:AD83"/>
    <mergeCell ref="C39:C40"/>
    <mergeCell ref="H82:Y82"/>
    <mergeCell ref="E39:AC39"/>
    <mergeCell ref="E82:G82"/>
    <mergeCell ref="B80:AD80"/>
    <mergeCell ref="AD39:AD40"/>
  </mergeCells>
  <phoneticPr fontId="61" type="noConversion"/>
  <pageMargins left="0.16944444444444445" right="0.36944444444444446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78CF-99EE-4B5F-A091-24F012E5EFCD}">
  <dimension ref="A1:AB32"/>
  <sheetViews>
    <sheetView zoomScale="115" zoomScaleNormal="115" zoomScaleSheetLayoutView="100" workbookViewId="0">
      <pane xSplit="2" ySplit="4" topLeftCell="C11" activePane="bottomRight" state="frozen"/>
      <selection pane="topRight"/>
      <selection pane="bottomLeft"/>
      <selection pane="bottomRight" activeCell="J19" sqref="J19"/>
    </sheetView>
  </sheetViews>
  <sheetFormatPr defaultColWidth="9" defaultRowHeight="12.9" x14ac:dyDescent="0.3"/>
  <cols>
    <col min="1" max="1" width="6.35546875" style="265" customWidth="1"/>
    <col min="2" max="2" width="16.7109375" style="289" customWidth="1"/>
    <col min="3" max="3" width="8.2109375" style="289" customWidth="1"/>
    <col min="4" max="5" width="7.5703125" style="265" customWidth="1"/>
    <col min="6" max="20" width="8.0703125" style="265" customWidth="1"/>
    <col min="21" max="24" width="7.5703125" style="265" customWidth="1"/>
    <col min="25" max="16384" width="9" style="265"/>
  </cols>
  <sheetData>
    <row r="1" spans="1:28" ht="27.75" customHeight="1" x14ac:dyDescent="0.3">
      <c r="A1" s="561" t="s">
        <v>142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  <c r="R1" s="561"/>
      <c r="S1" s="561"/>
      <c r="T1" s="561"/>
      <c r="U1" s="561"/>
      <c r="V1" s="561"/>
      <c r="W1" s="561"/>
      <c r="X1" s="561"/>
    </row>
    <row r="3" spans="1:28" s="184" customFormat="1" ht="17.149999999999999" customHeight="1" x14ac:dyDescent="0.3">
      <c r="A3" s="558" t="s">
        <v>0</v>
      </c>
      <c r="B3" s="551" t="s">
        <v>7</v>
      </c>
      <c r="C3" s="266" t="s">
        <v>68</v>
      </c>
      <c r="D3" s="560" t="s">
        <v>34</v>
      </c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62"/>
    </row>
    <row r="4" spans="1:28" s="184" customFormat="1" ht="17.149999999999999" customHeight="1" x14ac:dyDescent="0.3">
      <c r="A4" s="559"/>
      <c r="B4" s="552"/>
      <c r="C4" s="267">
        <f>成本!D4</f>
        <v>1</v>
      </c>
      <c r="D4" s="267">
        <v>1</v>
      </c>
      <c r="E4" s="267">
        <v>2</v>
      </c>
      <c r="F4" s="267">
        <v>3</v>
      </c>
      <c r="G4" s="267">
        <v>4</v>
      </c>
      <c r="H4" s="267">
        <v>5</v>
      </c>
      <c r="I4" s="267">
        <v>6</v>
      </c>
      <c r="J4" s="267">
        <v>7</v>
      </c>
      <c r="K4" s="267">
        <v>8</v>
      </c>
      <c r="L4" s="267">
        <v>9</v>
      </c>
      <c r="M4" s="267">
        <v>10</v>
      </c>
      <c r="N4" s="267">
        <v>11</v>
      </c>
      <c r="O4" s="267">
        <v>12</v>
      </c>
      <c r="P4" s="267">
        <v>13</v>
      </c>
      <c r="Q4" s="267">
        <v>14</v>
      </c>
      <c r="R4" s="267">
        <v>15</v>
      </c>
      <c r="S4" s="267">
        <v>16</v>
      </c>
      <c r="T4" s="267">
        <v>17</v>
      </c>
      <c r="U4" s="267">
        <v>18</v>
      </c>
      <c r="V4" s="267">
        <v>19</v>
      </c>
      <c r="W4" s="267">
        <v>20</v>
      </c>
      <c r="X4" s="267">
        <v>21</v>
      </c>
      <c r="Y4" s="267">
        <v>22</v>
      </c>
      <c r="Z4" s="267">
        <v>23</v>
      </c>
      <c r="AA4" s="267">
        <v>24</v>
      </c>
      <c r="AB4" s="268">
        <v>25</v>
      </c>
    </row>
    <row r="5" spans="1:28" ht="14.15" x14ac:dyDescent="0.35">
      <c r="A5" s="185">
        <v>1</v>
      </c>
      <c r="B5" s="269" t="s">
        <v>143</v>
      </c>
      <c r="C5" s="271">
        <f>C6+C10+C11+C12+C9</f>
        <v>56837.218705634412</v>
      </c>
      <c r="D5" s="271">
        <f>D6+D10+D11+D12+D9</f>
        <v>55210.931501613406</v>
      </c>
      <c r="E5" s="271">
        <f t="shared" ref="E5:AB5" si="0">E6+E10+E11+E12+E9</f>
        <v>53102.975344754377</v>
      </c>
      <c r="F5" s="271">
        <f t="shared" si="0"/>
        <v>50908.986470843534</v>
      </c>
      <c r="G5" s="271">
        <f t="shared" si="0"/>
        <v>48578.493714902659</v>
      </c>
      <c r="H5" s="271">
        <f t="shared" si="0"/>
        <v>46153.963212446986</v>
      </c>
      <c r="I5" s="271">
        <f t="shared" si="0"/>
        <v>43629.337219673245</v>
      </c>
      <c r="J5" s="271">
        <f t="shared" si="0"/>
        <v>40972.554217877165</v>
      </c>
      <c r="K5" s="271">
        <f t="shared" si="0"/>
        <v>38193.710171002174</v>
      </c>
      <c r="L5" s="271">
        <f t="shared" si="0"/>
        <v>35272.630878739306</v>
      </c>
      <c r="M5" s="271">
        <f t="shared" si="0"/>
        <v>32231.401089122675</v>
      </c>
      <c r="N5" s="271">
        <f t="shared" si="0"/>
        <v>29064.715598820254</v>
      </c>
      <c r="O5" s="271">
        <f t="shared" si="0"/>
        <v>25765.115255610672</v>
      </c>
      <c r="P5" s="271">
        <f t="shared" si="0"/>
        <v>22328.697258010518</v>
      </c>
      <c r="Q5" s="271">
        <f t="shared" si="0"/>
        <v>18749.381379885555</v>
      </c>
      <c r="R5" s="271">
        <f t="shared" si="0"/>
        <v>15405.976724988637</v>
      </c>
      <c r="S5" s="271">
        <f t="shared" si="0"/>
        <v>15311.777082107799</v>
      </c>
      <c r="T5" s="271">
        <f t="shared" si="0"/>
        <v>15645.505354742052</v>
      </c>
      <c r="U5" s="271">
        <f t="shared" si="0"/>
        <v>15971.070773489522</v>
      </c>
      <c r="V5" s="271">
        <f t="shared" si="0"/>
        <v>16290.576089120392</v>
      </c>
      <c r="W5" s="271">
        <f t="shared" si="0"/>
        <v>16604.021301634661</v>
      </c>
      <c r="X5" s="271">
        <f t="shared" si="0"/>
        <v>17418.200248472545</v>
      </c>
      <c r="Y5" s="271">
        <f t="shared" si="0"/>
        <v>18226.064464016865</v>
      </c>
      <c r="Z5" s="271">
        <f t="shared" si="0"/>
        <v>19027.613948267626</v>
      </c>
      <c r="AA5" s="271">
        <f t="shared" si="0"/>
        <v>19820.53041850069</v>
      </c>
      <c r="AB5" s="273">
        <f t="shared" si="0"/>
        <v>20607.132157440195</v>
      </c>
    </row>
    <row r="6" spans="1:28" ht="14.15" x14ac:dyDescent="0.35">
      <c r="A6" s="274" t="s">
        <v>90</v>
      </c>
      <c r="B6" s="269" t="s">
        <v>144</v>
      </c>
      <c r="C6" s="275"/>
      <c r="D6" s="272">
        <f>SUM(D7:D8)</f>
        <v>1568.2975794758213</v>
      </c>
      <c r="E6" s="272">
        <f t="shared" ref="E6:M6" si="1">SUM(E7:E8)</f>
        <v>2488.9734641411724</v>
      </c>
      <c r="F6" s="272">
        <f t="shared" si="1"/>
        <v>3649.1680744880323</v>
      </c>
      <c r="G6" s="272">
        <f t="shared" si="1"/>
        <v>4339.3861455381812</v>
      </c>
      <c r="H6" s="272">
        <f t="shared" si="1"/>
        <v>5261.1179128068688</v>
      </c>
      <c r="I6" s="272">
        <f t="shared" si="1"/>
        <v>5741.0437312408112</v>
      </c>
      <c r="J6" s="272">
        <f t="shared" si="1"/>
        <v>6430.839585885743</v>
      </c>
      <c r="K6" s="272">
        <f t="shared" si="1"/>
        <v>6080.8781309220103</v>
      </c>
      <c r="L6" s="272">
        <f t="shared" si="1"/>
        <v>5766.4726130115023</v>
      </c>
      <c r="M6" s="272">
        <f t="shared" si="1"/>
        <v>4968.6295626222309</v>
      </c>
      <c r="N6" s="272">
        <f t="shared" ref="N6:AB6" si="2">SUM(N7:N8)</f>
        <v>4408.6178466721703</v>
      </c>
      <c r="O6" s="272">
        <f t="shared" si="2"/>
        <v>3343.322066811822</v>
      </c>
      <c r="P6" s="272">
        <f t="shared" si="2"/>
        <v>2522.6600194421562</v>
      </c>
      <c r="Q6" s="272">
        <f t="shared" si="2"/>
        <v>1168.1124199943997</v>
      </c>
      <c r="R6" s="272">
        <f t="shared" si="2"/>
        <v>450</v>
      </c>
      <c r="S6" s="272">
        <f t="shared" si="2"/>
        <v>2580.5686357963668</v>
      </c>
      <c r="T6" s="272">
        <f t="shared" si="2"/>
        <v>5539.5891433331381</v>
      </c>
      <c r="U6" s="272">
        <f t="shared" si="2"/>
        <v>8079.9097418521796</v>
      </c>
      <c r="V6" s="272">
        <f t="shared" si="2"/>
        <v>11034.720391291199</v>
      </c>
      <c r="W6" s="272">
        <f t="shared" si="2"/>
        <v>13552.407029726124</v>
      </c>
      <c r="X6" s="272">
        <f t="shared" si="2"/>
        <v>14587.374807433212</v>
      </c>
      <c r="Y6" s="272">
        <f t="shared" si="2"/>
        <v>15174.45019210833</v>
      </c>
      <c r="Z6" s="272">
        <f t="shared" si="2"/>
        <v>16196.788507228292</v>
      </c>
      <c r="AA6" s="272">
        <f t="shared" si="2"/>
        <v>16757.876705048693</v>
      </c>
      <c r="AB6" s="273">
        <f t="shared" si="2"/>
        <v>17776.306716400861</v>
      </c>
    </row>
    <row r="7" spans="1:28" ht="14.15" x14ac:dyDescent="0.35">
      <c r="A7" s="274" t="s">
        <v>145</v>
      </c>
      <c r="B7" s="269" t="s">
        <v>146</v>
      </c>
      <c r="C7" s="275"/>
      <c r="D7" s="272">
        <f>投资计划!C8</f>
        <v>450</v>
      </c>
      <c r="E7" s="272">
        <f t="shared" ref="E7:M7" si="3">D7</f>
        <v>450</v>
      </c>
      <c r="F7" s="272">
        <f t="shared" si="3"/>
        <v>450</v>
      </c>
      <c r="G7" s="272">
        <f t="shared" si="3"/>
        <v>450</v>
      </c>
      <c r="H7" s="272">
        <f t="shared" si="3"/>
        <v>450</v>
      </c>
      <c r="I7" s="272">
        <f t="shared" si="3"/>
        <v>450</v>
      </c>
      <c r="J7" s="272">
        <f t="shared" si="3"/>
        <v>450</v>
      </c>
      <c r="K7" s="272">
        <f t="shared" si="3"/>
        <v>450</v>
      </c>
      <c r="L7" s="272">
        <f t="shared" si="3"/>
        <v>450</v>
      </c>
      <c r="M7" s="272">
        <f t="shared" si="3"/>
        <v>450</v>
      </c>
      <c r="N7" s="272">
        <f t="shared" ref="N7:AB7" si="4">M7</f>
        <v>450</v>
      </c>
      <c r="O7" s="272">
        <f t="shared" si="4"/>
        <v>450</v>
      </c>
      <c r="P7" s="272">
        <f t="shared" si="4"/>
        <v>450</v>
      </c>
      <c r="Q7" s="272">
        <f t="shared" si="4"/>
        <v>450</v>
      </c>
      <c r="R7" s="272">
        <f t="shared" si="4"/>
        <v>450</v>
      </c>
      <c r="S7" s="272">
        <f t="shared" si="4"/>
        <v>450</v>
      </c>
      <c r="T7" s="272">
        <f t="shared" si="4"/>
        <v>450</v>
      </c>
      <c r="U7" s="272">
        <f t="shared" si="4"/>
        <v>450</v>
      </c>
      <c r="V7" s="272">
        <f t="shared" si="4"/>
        <v>450</v>
      </c>
      <c r="W7" s="272">
        <f t="shared" si="4"/>
        <v>450</v>
      </c>
      <c r="X7" s="272">
        <f t="shared" si="4"/>
        <v>450</v>
      </c>
      <c r="Y7" s="272">
        <f t="shared" si="4"/>
        <v>450</v>
      </c>
      <c r="Z7" s="272">
        <f t="shared" si="4"/>
        <v>450</v>
      </c>
      <c r="AA7" s="272">
        <f t="shared" si="4"/>
        <v>450</v>
      </c>
      <c r="AB7" s="273">
        <f t="shared" si="4"/>
        <v>450</v>
      </c>
    </row>
    <row r="8" spans="1:28" ht="14.15" x14ac:dyDescent="0.35">
      <c r="A8" s="274" t="s">
        <v>147</v>
      </c>
      <c r="B8" s="269" t="s">
        <v>148</v>
      </c>
      <c r="C8" s="275"/>
      <c r="D8" s="272">
        <f>财务计划!E34</f>
        <v>1118.2975794758213</v>
      </c>
      <c r="E8" s="272">
        <f>财务计划!F34</f>
        <v>2038.9734641411724</v>
      </c>
      <c r="F8" s="272">
        <f>财务计划!G34</f>
        <v>3199.1680744880323</v>
      </c>
      <c r="G8" s="272">
        <f>财务计划!H34</f>
        <v>3889.3861455381812</v>
      </c>
      <c r="H8" s="272">
        <f>财务计划!I34</f>
        <v>4811.1179128068688</v>
      </c>
      <c r="I8" s="272">
        <f>财务计划!J34</f>
        <v>5291.0437312408112</v>
      </c>
      <c r="J8" s="272">
        <f>财务计划!K34</f>
        <v>5980.839585885743</v>
      </c>
      <c r="K8" s="272">
        <f>财务计划!L34</f>
        <v>5630.8781309220103</v>
      </c>
      <c r="L8" s="272">
        <f>财务计划!M34</f>
        <v>5316.4726130115023</v>
      </c>
      <c r="M8" s="272">
        <f>财务计划!N34</f>
        <v>4518.6295626222309</v>
      </c>
      <c r="N8" s="272">
        <f>财务计划!O34</f>
        <v>3958.6178466721703</v>
      </c>
      <c r="O8" s="272">
        <f>财务计划!P34</f>
        <v>2893.322066811822</v>
      </c>
      <c r="P8" s="272">
        <f>财务计划!Q34</f>
        <v>2072.6600194421562</v>
      </c>
      <c r="Q8" s="272">
        <f>财务计划!R34</f>
        <v>718.11241999439972</v>
      </c>
      <c r="R8" s="272">
        <f>财务计划!S34</f>
        <v>0</v>
      </c>
      <c r="S8" s="272">
        <f>财务计划!T34</f>
        <v>2130.5686357963668</v>
      </c>
      <c r="T8" s="272">
        <f>财务计划!U34</f>
        <v>5089.5891433331381</v>
      </c>
      <c r="U8" s="272">
        <f>财务计划!V34</f>
        <v>7629.9097418521796</v>
      </c>
      <c r="V8" s="272">
        <f>财务计划!W34</f>
        <v>10584.720391291199</v>
      </c>
      <c r="W8" s="272">
        <f>财务计划!X34</f>
        <v>13102.407029726124</v>
      </c>
      <c r="X8" s="272">
        <f>财务计划!Y34</f>
        <v>14137.374807433212</v>
      </c>
      <c r="Y8" s="272">
        <f>财务计划!Z34</f>
        <v>14724.45019210833</v>
      </c>
      <c r="Z8" s="272">
        <f>财务计划!AA34</f>
        <v>15746.788507228292</v>
      </c>
      <c r="AA8" s="272">
        <f>财务计划!AB34</f>
        <v>16307.876705048695</v>
      </c>
      <c r="AB8" s="273">
        <f>财务计划!AC34</f>
        <v>17326.306716400861</v>
      </c>
    </row>
    <row r="9" spans="1:28" ht="14.15" x14ac:dyDescent="0.35">
      <c r="A9" s="274" t="s">
        <v>289</v>
      </c>
      <c r="B9" s="269" t="s">
        <v>290</v>
      </c>
      <c r="C9" s="275"/>
      <c r="D9" s="272">
        <f>SUM(财务计划!$E$10:'财务计划'!E10)</f>
        <v>0</v>
      </c>
      <c r="E9" s="272">
        <f>SUM(财务计划!$E$10:'财务计划'!F10)</f>
        <v>0</v>
      </c>
      <c r="F9" s="272">
        <f>SUM(财务计划!$E$10:'财务计划'!G10)</f>
        <v>0</v>
      </c>
      <c r="G9" s="272">
        <f>SUM(财务计划!$E$10:'财务计划'!H10)</f>
        <v>0</v>
      </c>
      <c r="H9" s="272">
        <f>SUM(财务计划!$E$10:'财务计划'!I10)</f>
        <v>0</v>
      </c>
      <c r="I9" s="272">
        <f>SUM(财务计划!$E$10:'财务计划'!J10)</f>
        <v>0</v>
      </c>
      <c r="J9" s="272">
        <f>SUM(财务计划!$E$10:'财务计划'!K10)</f>
        <v>0</v>
      </c>
      <c r="K9" s="272">
        <f>SUM(财务计划!$E$10:'财务计划'!L10)</f>
        <v>0</v>
      </c>
      <c r="L9" s="272">
        <f>SUM(财务计划!$E$10:'财务计划'!M10)</f>
        <v>0</v>
      </c>
      <c r="M9" s="272">
        <f>SUM(财务计划!$E$10:'财务计划'!N10)</f>
        <v>0</v>
      </c>
      <c r="N9" s="272">
        <f>SUM(财务计划!$E$10:'财务计划'!O10)</f>
        <v>0</v>
      </c>
      <c r="O9" s="272">
        <f>SUM(财务计划!$E$10:'财务计划'!P10)</f>
        <v>0</v>
      </c>
      <c r="P9" s="272">
        <f>SUM(财务计划!$E$10:'财务计划'!Q10)</f>
        <v>0</v>
      </c>
      <c r="Q9" s="272">
        <f>SUM(财务计划!$E$10:'财务计划'!R10)</f>
        <v>0</v>
      </c>
      <c r="R9" s="272">
        <f>SUM(财务计划!$E$10:'财务计划'!S10)</f>
        <v>0</v>
      </c>
      <c r="S9" s="272">
        <f>SUM(财务计划!$E$10:'财务计划'!T10)</f>
        <v>0</v>
      </c>
      <c r="T9" s="272">
        <f>SUM(财务计划!$E$10:'财务计划'!U10)</f>
        <v>0</v>
      </c>
      <c r="U9" s="272">
        <f>SUM(财务计划!$E$10:'财务计划'!V10)</f>
        <v>0</v>
      </c>
      <c r="V9" s="272">
        <f>SUM(财务计划!$E$10:'财务计划'!W10)</f>
        <v>0</v>
      </c>
      <c r="W9" s="272">
        <f>SUM(财务计划!$E$10:'财务计划'!X10)</f>
        <v>0</v>
      </c>
      <c r="X9" s="272">
        <f>SUM(财务计划!$E$10:'财务计划'!Y10)</f>
        <v>0</v>
      </c>
      <c r="Y9" s="272">
        <f>SUM(财务计划!$E$10:'财务计划'!Z10)</f>
        <v>0</v>
      </c>
      <c r="Z9" s="272">
        <f>SUM(财务计划!$E$10:'财务计划'!AA10)</f>
        <v>0</v>
      </c>
      <c r="AA9" s="272">
        <f>SUM(财务计划!$E$10:'财务计划'!AB10)</f>
        <v>0</v>
      </c>
      <c r="AB9" s="273">
        <f>SUM(财务计划!$E$10:'财务计划'!AC10)</f>
        <v>0</v>
      </c>
    </row>
    <row r="10" spans="1:28" ht="14.15" x14ac:dyDescent="0.35">
      <c r="A10" s="274" t="s">
        <v>92</v>
      </c>
      <c r="B10" s="269" t="s">
        <v>149</v>
      </c>
      <c r="C10" s="270">
        <f>投资计划!F5</f>
        <v>56837.218705634412</v>
      </c>
      <c r="D10" s="276"/>
      <c r="E10" s="272">
        <v>0</v>
      </c>
      <c r="F10" s="272">
        <v>0</v>
      </c>
      <c r="G10" s="272">
        <v>0</v>
      </c>
      <c r="H10" s="272">
        <v>0</v>
      </c>
      <c r="I10" s="272">
        <v>0</v>
      </c>
      <c r="J10" s="272">
        <v>0</v>
      </c>
      <c r="K10" s="272">
        <v>0</v>
      </c>
      <c r="L10" s="272">
        <v>0</v>
      </c>
      <c r="M10" s="272">
        <v>0</v>
      </c>
      <c r="N10" s="272">
        <v>0</v>
      </c>
      <c r="O10" s="272">
        <v>0</v>
      </c>
      <c r="P10" s="272">
        <v>0</v>
      </c>
      <c r="Q10" s="272">
        <v>0</v>
      </c>
      <c r="R10" s="272">
        <v>0</v>
      </c>
      <c r="S10" s="272">
        <v>0</v>
      </c>
      <c r="T10" s="272">
        <v>0</v>
      </c>
      <c r="U10" s="272">
        <v>0</v>
      </c>
      <c r="V10" s="272">
        <v>0</v>
      </c>
      <c r="W10" s="272">
        <v>0</v>
      </c>
      <c r="X10" s="272">
        <v>0</v>
      </c>
      <c r="Y10" s="272">
        <v>0</v>
      </c>
      <c r="Z10" s="272">
        <v>0</v>
      </c>
      <c r="AA10" s="272">
        <v>0</v>
      </c>
      <c r="AB10" s="273">
        <v>0</v>
      </c>
    </row>
    <row r="11" spans="1:28" ht="14.15" x14ac:dyDescent="0.35">
      <c r="A11" s="274" t="s">
        <v>94</v>
      </c>
      <c r="B11" s="277" t="s">
        <v>150</v>
      </c>
      <c r="C11" s="275"/>
      <c r="D11" s="272">
        <f>成本!E31</f>
        <v>48749.4898200467</v>
      </c>
      <c r="E11" s="272">
        <f>成本!F31</f>
        <v>46324.459563256838</v>
      </c>
      <c r="F11" s="272">
        <f>成本!G31</f>
        <v>43899.429306466976</v>
      </c>
      <c r="G11" s="272">
        <f>成本!H31</f>
        <v>41474.399049677115</v>
      </c>
      <c r="H11" s="272">
        <f>成本!I31</f>
        <v>39049.368792887253</v>
      </c>
      <c r="I11" s="272">
        <f>成本!J31</f>
        <v>36624.338536097392</v>
      </c>
      <c r="J11" s="272">
        <f>成本!K31</f>
        <v>34199.30827930753</v>
      </c>
      <c r="K11" s="272">
        <f>成本!L31</f>
        <v>31774.278022517668</v>
      </c>
      <c r="L11" s="272">
        <f>成本!M31</f>
        <v>29349.247765727807</v>
      </c>
      <c r="M11" s="272">
        <f>成本!N31</f>
        <v>26924.217508937945</v>
      </c>
      <c r="N11" s="272">
        <f>成本!O31</f>
        <v>24499.187252148084</v>
      </c>
      <c r="O11" s="272">
        <f>成本!P31</f>
        <v>22074.156995358222</v>
      </c>
      <c r="P11" s="272">
        <f>成本!Q31</f>
        <v>19649.12673856836</v>
      </c>
      <c r="Q11" s="272">
        <f>成本!R31</f>
        <v>17224.096481778499</v>
      </c>
      <c r="R11" s="272">
        <f>成本!S31</f>
        <v>14799.066224988637</v>
      </c>
      <c r="S11" s="272">
        <f>成本!T31</f>
        <v>12374.035968198776</v>
      </c>
      <c r="T11" s="272">
        <f>成本!U31</f>
        <v>9949.0057114089141</v>
      </c>
      <c r="U11" s="272">
        <f>成本!V31</f>
        <v>7523.9754546190534</v>
      </c>
      <c r="V11" s="272">
        <f>成本!W31</f>
        <v>5098.9451978291927</v>
      </c>
      <c r="W11" s="272">
        <f>成本!X31</f>
        <v>2673.914941039332</v>
      </c>
      <c r="X11" s="272">
        <f>成本!Y31</f>
        <v>2673.914941039332</v>
      </c>
      <c r="Y11" s="272">
        <f>X11</f>
        <v>2673.914941039332</v>
      </c>
      <c r="Z11" s="272">
        <f>Y11</f>
        <v>2673.914941039332</v>
      </c>
      <c r="AA11" s="272">
        <f>Z11</f>
        <v>2673.914941039332</v>
      </c>
      <c r="AB11" s="273">
        <f>AA11</f>
        <v>2673.914941039332</v>
      </c>
    </row>
    <row r="12" spans="1:28" ht="14.15" x14ac:dyDescent="0.35">
      <c r="A12" s="274" t="s">
        <v>151</v>
      </c>
      <c r="B12" s="277" t="s">
        <v>152</v>
      </c>
      <c r="C12" s="278"/>
      <c r="D12" s="272">
        <f>成本!F52+成本!F57</f>
        <v>4893.1441020908842</v>
      </c>
      <c r="E12" s="272">
        <f>成本!G52+成本!G57</f>
        <v>4289.5423173563704</v>
      </c>
      <c r="F12" s="272">
        <f>成本!H52+成本!H57</f>
        <v>3360.3890898885302</v>
      </c>
      <c r="G12" s="272">
        <f>成本!I52+成本!I57</f>
        <v>2764.7085196873622</v>
      </c>
      <c r="H12" s="272">
        <f>成本!J52+成本!J57</f>
        <v>1843.476506752867</v>
      </c>
      <c r="I12" s="272">
        <f>成本!K52+成本!K57</f>
        <v>1263.9549523350447</v>
      </c>
      <c r="J12" s="272">
        <f>成本!L52+成本!L57</f>
        <v>342.40635268389508</v>
      </c>
      <c r="K12" s="272">
        <f>成本!M52+成本!M57</f>
        <v>338.55401756250006</v>
      </c>
      <c r="L12" s="272">
        <f>成本!N52+成本!N57</f>
        <v>156.91050000000004</v>
      </c>
      <c r="M12" s="272">
        <f>成本!O52+成本!O57</f>
        <v>338.55401756250006</v>
      </c>
      <c r="N12" s="272">
        <f>成本!P52+成本!P57</f>
        <v>156.91050000000004</v>
      </c>
      <c r="O12" s="272">
        <f>成本!Q52+成本!Q57</f>
        <v>347.63619344062505</v>
      </c>
      <c r="P12" s="272">
        <f>成本!R52+成本!R57</f>
        <v>156.91050000000004</v>
      </c>
      <c r="Q12" s="272">
        <f>成本!S52+成本!S57</f>
        <v>357.17247811265634</v>
      </c>
      <c r="R12" s="272">
        <f>成本!T52+成本!T57</f>
        <v>156.91050000000004</v>
      </c>
      <c r="S12" s="272">
        <f>成本!U52+成本!U57</f>
        <v>357.17247811265634</v>
      </c>
      <c r="T12" s="272">
        <f>成本!V52+成本!V57</f>
        <v>156.91050000000004</v>
      </c>
      <c r="U12" s="272">
        <f>成本!W52+成本!W57</f>
        <v>367.18557701828911</v>
      </c>
      <c r="V12" s="272">
        <f>成本!X52+成本!X57</f>
        <v>156.91050000000004</v>
      </c>
      <c r="W12" s="272">
        <f>成本!Y52+成本!Y57</f>
        <v>377.69933086920361</v>
      </c>
      <c r="X12" s="272">
        <f>成本!Z52+成本!Z57</f>
        <v>156.91050000000004</v>
      </c>
      <c r="Y12" s="272">
        <f>成本!AA52+成本!AA57</f>
        <v>377.69933086920361</v>
      </c>
      <c r="Z12" s="272">
        <f>成本!AB52+成本!AB57</f>
        <v>156.91050000000004</v>
      </c>
      <c r="AA12" s="272">
        <f>成本!AC52+成本!AC57</f>
        <v>388.73877241266376</v>
      </c>
      <c r="AB12" s="273">
        <f>成本!AD52+成本!AD57</f>
        <v>156.91050000000004</v>
      </c>
    </row>
    <row r="13" spans="1:28" ht="14.15" x14ac:dyDescent="0.35">
      <c r="A13" s="274" t="s">
        <v>153</v>
      </c>
      <c r="B13" s="269" t="s">
        <v>154</v>
      </c>
      <c r="C13" s="278">
        <f>C17+C18</f>
        <v>56837.218705634412</v>
      </c>
      <c r="D13" s="279">
        <f>D17+D18</f>
        <v>55210.931501613406</v>
      </c>
      <c r="E13" s="279">
        <f>E17+E18</f>
        <v>53102.975344754384</v>
      </c>
      <c r="F13" s="279">
        <f>F17+F18</f>
        <v>50908.986470843542</v>
      </c>
      <c r="G13" s="279">
        <f t="shared" ref="G13:AB13" si="5">G17+G18</f>
        <v>48578.493714902659</v>
      </c>
      <c r="H13" s="279">
        <f t="shared" si="5"/>
        <v>46153.963212446994</v>
      </c>
      <c r="I13" s="279">
        <f t="shared" si="5"/>
        <v>43629.337219673253</v>
      </c>
      <c r="J13" s="279">
        <f t="shared" si="5"/>
        <v>40972.554217877172</v>
      </c>
      <c r="K13" s="279">
        <f t="shared" si="5"/>
        <v>38193.710171002182</v>
      </c>
      <c r="L13" s="279">
        <f t="shared" si="5"/>
        <v>35272.630878739314</v>
      </c>
      <c r="M13" s="279">
        <f t="shared" si="5"/>
        <v>32231.401089122686</v>
      </c>
      <c r="N13" s="279">
        <f t="shared" si="5"/>
        <v>29064.715598820265</v>
      </c>
      <c r="O13" s="279">
        <f t="shared" si="5"/>
        <v>25765.115255610679</v>
      </c>
      <c r="P13" s="279">
        <f t="shared" si="5"/>
        <v>22328.697258010528</v>
      </c>
      <c r="Q13" s="279">
        <f t="shared" si="5"/>
        <v>18749.381379885566</v>
      </c>
      <c r="R13" s="279">
        <f t="shared" si="5"/>
        <v>15405.97672498865</v>
      </c>
      <c r="S13" s="279">
        <f t="shared" si="5"/>
        <v>15311.777082107814</v>
      </c>
      <c r="T13" s="279">
        <f t="shared" si="5"/>
        <v>15645.505354742067</v>
      </c>
      <c r="U13" s="279">
        <f t="shared" si="5"/>
        <v>15971.070773489537</v>
      </c>
      <c r="V13" s="279">
        <f t="shared" si="5"/>
        <v>16290.576089120406</v>
      </c>
      <c r="W13" s="279">
        <f t="shared" si="5"/>
        <v>16604.021301634675</v>
      </c>
      <c r="X13" s="279">
        <f t="shared" si="5"/>
        <v>17418.200248472556</v>
      </c>
      <c r="Y13" s="279">
        <f t="shared" si="5"/>
        <v>18226.064464016876</v>
      </c>
      <c r="Z13" s="279">
        <f t="shared" si="5"/>
        <v>19027.613948267634</v>
      </c>
      <c r="AA13" s="279">
        <f t="shared" si="5"/>
        <v>19820.530418500701</v>
      </c>
      <c r="AB13" s="280">
        <f t="shared" si="5"/>
        <v>20607.132157440203</v>
      </c>
    </row>
    <row r="14" spans="1:28" ht="14.15" x14ac:dyDescent="0.35">
      <c r="A14" s="274" t="s">
        <v>41</v>
      </c>
      <c r="B14" s="269" t="s">
        <v>155</v>
      </c>
      <c r="C14" s="275"/>
      <c r="D14" s="279">
        <f>投资计划!$G$18</f>
        <v>450</v>
      </c>
      <c r="E14" s="279">
        <f>投资计划!$G$18</f>
        <v>450</v>
      </c>
      <c r="F14" s="279">
        <f>投资计划!$G$18</f>
        <v>450</v>
      </c>
      <c r="G14" s="279">
        <f>投资计划!$G$18</f>
        <v>450</v>
      </c>
      <c r="H14" s="279">
        <f>投资计划!$G$18</f>
        <v>450</v>
      </c>
      <c r="I14" s="279">
        <f>投资计划!$G$18</f>
        <v>450</v>
      </c>
      <c r="J14" s="279">
        <f>投资计划!$G$18</f>
        <v>450</v>
      </c>
      <c r="K14" s="279">
        <f>投资计划!$G$18</f>
        <v>450</v>
      </c>
      <c r="L14" s="279">
        <f>投资计划!$G$18</f>
        <v>450</v>
      </c>
      <c r="M14" s="279">
        <f>投资计划!$G$18</f>
        <v>450</v>
      </c>
      <c r="N14" s="279">
        <f>投资计划!$G$18</f>
        <v>450</v>
      </c>
      <c r="O14" s="279">
        <f>投资计划!$G$18</f>
        <v>450</v>
      </c>
      <c r="P14" s="279">
        <f>投资计划!$G$18</f>
        <v>450</v>
      </c>
      <c r="Q14" s="279">
        <f>投资计划!$G$18</f>
        <v>450</v>
      </c>
      <c r="R14" s="279">
        <f>投资计划!$G$18</f>
        <v>450</v>
      </c>
      <c r="S14" s="279">
        <f>投资计划!$G$18</f>
        <v>450</v>
      </c>
      <c r="T14" s="279">
        <f>投资计划!$G$18</f>
        <v>450</v>
      </c>
      <c r="U14" s="279">
        <f>投资计划!$G$18</f>
        <v>450</v>
      </c>
      <c r="V14" s="279">
        <f>投资计划!$G$18</f>
        <v>450</v>
      </c>
      <c r="W14" s="279">
        <f>投资计划!$G$18</f>
        <v>450</v>
      </c>
      <c r="X14" s="279">
        <f>投资计划!$G$18</f>
        <v>450</v>
      </c>
      <c r="Y14" s="279">
        <f>投资计划!$G$18</f>
        <v>450</v>
      </c>
      <c r="Z14" s="279">
        <f>投资计划!$G$18</f>
        <v>450</v>
      </c>
      <c r="AA14" s="279">
        <f>投资计划!$G$18</f>
        <v>450</v>
      </c>
      <c r="AB14" s="280">
        <f>投资计划!$G$18</f>
        <v>450</v>
      </c>
    </row>
    <row r="15" spans="1:28" ht="14.15" x14ac:dyDescent="0.35">
      <c r="A15" s="274" t="s">
        <v>42</v>
      </c>
      <c r="B15" s="269" t="s">
        <v>25</v>
      </c>
      <c r="C15" s="270">
        <f>还贷!D6</f>
        <v>45379.774964507531</v>
      </c>
      <c r="D15" s="272">
        <f>还贷!F6</f>
        <v>43220.762372624173</v>
      </c>
      <c r="E15" s="272">
        <f>还贷!G6</f>
        <v>40961.355695218233</v>
      </c>
      <c r="F15" s="272">
        <f>还贷!H6</f>
        <v>38596.886607312917</v>
      </c>
      <c r="G15" s="272">
        <f>还贷!I6</f>
        <v>36122.469706820004</v>
      </c>
      <c r="H15" s="272">
        <f>还贷!J6</f>
        <v>33532.992420454175</v>
      </c>
      <c r="I15" s="272">
        <f>还贷!K6</f>
        <v>30823.104440272331</v>
      </c>
      <c r="J15" s="272">
        <f>还贷!L6</f>
        <v>27987.206669012034</v>
      </c>
      <c r="K15" s="272">
        <f>还贷!M6</f>
        <v>25019.439651388133</v>
      </c>
      <c r="L15" s="272">
        <f>还贷!N6</f>
        <v>21913.671467444721</v>
      </c>
      <c r="M15" s="272">
        <f>还贷!O6</f>
        <v>18663.485062947941</v>
      </c>
      <c r="N15" s="272">
        <f>还贷!P6</f>
        <v>15262.164990642057</v>
      </c>
      <c r="O15" s="272">
        <f>还贷!Q6</f>
        <v>11702.683534973952</v>
      </c>
      <c r="P15" s="272">
        <f>还贷!R6</f>
        <v>7977.6861916172793</v>
      </c>
      <c r="Q15" s="272">
        <f>还贷!S6</f>
        <v>4079.4764717945213</v>
      </c>
      <c r="R15" s="272">
        <f>还贷!T6</f>
        <v>5.0022208597511053E-12</v>
      </c>
      <c r="S15" s="272">
        <f>还贷!U6</f>
        <v>5.0022208597511053E-12</v>
      </c>
      <c r="T15" s="272">
        <f>还贷!V6</f>
        <v>5.0022208597511053E-12</v>
      </c>
      <c r="U15" s="272">
        <f>还贷!W6</f>
        <v>5.0022208597511053E-12</v>
      </c>
      <c r="V15" s="272">
        <f>还贷!X6</f>
        <v>5.0022208597511053E-12</v>
      </c>
      <c r="W15" s="272">
        <f>还贷!Y6</f>
        <v>5.0022208597511053E-12</v>
      </c>
      <c r="X15" s="272">
        <f>还贷!AD6</f>
        <v>0</v>
      </c>
      <c r="Y15" s="272">
        <f>还贷!AE6</f>
        <v>0</v>
      </c>
      <c r="Z15" s="272">
        <f>还贷!AF6</f>
        <v>0</v>
      </c>
      <c r="AA15" s="272">
        <f>还贷!AG6</f>
        <v>0</v>
      </c>
      <c r="AB15" s="273">
        <f>还贷!AH6</f>
        <v>0</v>
      </c>
    </row>
    <row r="16" spans="1:28" ht="14.15" x14ac:dyDescent="0.35">
      <c r="A16" s="185">
        <v>2.2999999999999998</v>
      </c>
      <c r="B16" s="269" t="s">
        <v>156</v>
      </c>
      <c r="C16" s="278">
        <f>财务计划!D22</f>
        <v>0</v>
      </c>
      <c r="D16" s="272">
        <f>财务计划!E22</f>
        <v>0</v>
      </c>
      <c r="E16" s="272">
        <f>财务计划!F22</f>
        <v>0</v>
      </c>
      <c r="F16" s="272">
        <f>财务计划!G22</f>
        <v>0</v>
      </c>
      <c r="G16" s="272">
        <f>财务计划!H22</f>
        <v>0</v>
      </c>
      <c r="H16" s="272">
        <f>财务计划!I22</f>
        <v>0</v>
      </c>
      <c r="I16" s="272">
        <f>财务计划!J22</f>
        <v>0</v>
      </c>
      <c r="J16" s="272">
        <f>财务计划!K22</f>
        <v>0</v>
      </c>
      <c r="K16" s="272">
        <f>财务计划!L22</f>
        <v>0</v>
      </c>
      <c r="L16" s="272">
        <f>财务计划!M22</f>
        <v>0</v>
      </c>
      <c r="M16" s="272">
        <f>财务计划!N22</f>
        <v>0</v>
      </c>
      <c r="N16" s="272">
        <f>财务计划!O22</f>
        <v>0</v>
      </c>
      <c r="O16" s="272">
        <f>财务计划!P22</f>
        <v>0</v>
      </c>
      <c r="P16" s="272">
        <f>财务计划!Q22</f>
        <v>0</v>
      </c>
      <c r="Q16" s="272">
        <f>财务计划!R22</f>
        <v>0</v>
      </c>
      <c r="R16" s="272">
        <f>财务计划!S22</f>
        <v>430.05942577721817</v>
      </c>
      <c r="S16" s="272">
        <f>财务计划!T22</f>
        <v>0</v>
      </c>
      <c r="T16" s="272">
        <f>财务计划!U22</f>
        <v>0</v>
      </c>
      <c r="U16" s="272">
        <f>财务计划!V22</f>
        <v>0</v>
      </c>
      <c r="V16" s="272">
        <f>财务计划!W22</f>
        <v>0</v>
      </c>
      <c r="W16" s="272">
        <f>财务计划!X22</f>
        <v>0</v>
      </c>
      <c r="X16" s="272">
        <f>财务计划!Y22</f>
        <v>0</v>
      </c>
      <c r="Y16" s="272">
        <f>财务计划!Z22</f>
        <v>0</v>
      </c>
      <c r="Z16" s="272">
        <f>财务计划!AA22</f>
        <v>0</v>
      </c>
      <c r="AA16" s="272">
        <f>财务计划!AB22</f>
        <v>0</v>
      </c>
      <c r="AB16" s="273">
        <f>财务计划!AC22</f>
        <v>0</v>
      </c>
    </row>
    <row r="17" spans="1:28" ht="14.15" x14ac:dyDescent="0.35">
      <c r="A17" s="185"/>
      <c r="B17" s="281" t="s">
        <v>157</v>
      </c>
      <c r="C17" s="278">
        <f>C14+C15+C16</f>
        <v>45379.774964507531</v>
      </c>
      <c r="D17" s="279">
        <f>D14+D15+D16</f>
        <v>43670.762372624173</v>
      </c>
      <c r="E17" s="272">
        <f t="shared" ref="E17:AB17" si="6">E14+E15+E16</f>
        <v>41411.355695218233</v>
      </c>
      <c r="F17" s="272">
        <f t="shared" si="6"/>
        <v>39046.886607312917</v>
      </c>
      <c r="G17" s="272">
        <f t="shared" si="6"/>
        <v>36572.469706820004</v>
      </c>
      <c r="H17" s="272">
        <f t="shared" si="6"/>
        <v>33982.992420454175</v>
      </c>
      <c r="I17" s="272">
        <f t="shared" si="6"/>
        <v>31273.104440272331</v>
      </c>
      <c r="J17" s="272">
        <f t="shared" si="6"/>
        <v>28437.206669012034</v>
      </c>
      <c r="K17" s="272">
        <f t="shared" si="6"/>
        <v>25469.439651388133</v>
      </c>
      <c r="L17" s="272">
        <f t="shared" si="6"/>
        <v>22363.671467444721</v>
      </c>
      <c r="M17" s="272">
        <f t="shared" si="6"/>
        <v>19113.485062947941</v>
      </c>
      <c r="N17" s="272">
        <f t="shared" si="6"/>
        <v>15712.164990642057</v>
      </c>
      <c r="O17" s="272">
        <f t="shared" si="6"/>
        <v>12152.683534973952</v>
      </c>
      <c r="P17" s="272">
        <f t="shared" si="6"/>
        <v>8427.6861916172784</v>
      </c>
      <c r="Q17" s="272">
        <f t="shared" si="6"/>
        <v>4529.4764717945218</v>
      </c>
      <c r="R17" s="272">
        <f t="shared" si="6"/>
        <v>880.05942577722317</v>
      </c>
      <c r="S17" s="272">
        <f t="shared" si="6"/>
        <v>450.000000000005</v>
      </c>
      <c r="T17" s="272">
        <f t="shared" si="6"/>
        <v>450.000000000005</v>
      </c>
      <c r="U17" s="272">
        <f t="shared" si="6"/>
        <v>450.000000000005</v>
      </c>
      <c r="V17" s="272">
        <f t="shared" si="6"/>
        <v>450.000000000005</v>
      </c>
      <c r="W17" s="272">
        <f t="shared" si="6"/>
        <v>450.000000000005</v>
      </c>
      <c r="X17" s="272">
        <f t="shared" si="6"/>
        <v>450</v>
      </c>
      <c r="Y17" s="272">
        <f t="shared" si="6"/>
        <v>450</v>
      </c>
      <c r="Z17" s="272">
        <f t="shared" si="6"/>
        <v>450</v>
      </c>
      <c r="AA17" s="272">
        <f t="shared" si="6"/>
        <v>450</v>
      </c>
      <c r="AB17" s="273">
        <f t="shared" si="6"/>
        <v>450</v>
      </c>
    </row>
    <row r="18" spans="1:28" ht="14.15" x14ac:dyDescent="0.35">
      <c r="A18" s="274" t="s">
        <v>99</v>
      </c>
      <c r="B18" s="269" t="s">
        <v>158</v>
      </c>
      <c r="C18" s="278">
        <f>SUM(C19:C21)</f>
        <v>11457.443741126881</v>
      </c>
      <c r="D18" s="279">
        <f>SUM(D19:D21)</f>
        <v>11540.169128989237</v>
      </c>
      <c r="E18" s="279">
        <f>SUM(E19:E21)</f>
        <v>11691.619649536151</v>
      </c>
      <c r="F18" s="279">
        <f>SUM(F19:F21)</f>
        <v>11862.099863530622</v>
      </c>
      <c r="G18" s="279">
        <f t="shared" ref="G18:W18" si="7">SUM(G19:G21)</f>
        <v>12006.024008082653</v>
      </c>
      <c r="H18" s="279">
        <f t="shared" si="7"/>
        <v>12170.970791992817</v>
      </c>
      <c r="I18" s="279">
        <f t="shared" si="7"/>
        <v>12356.232779400918</v>
      </c>
      <c r="J18" s="279">
        <f t="shared" si="7"/>
        <v>12535.347548865137</v>
      </c>
      <c r="K18" s="279">
        <f t="shared" si="7"/>
        <v>12724.27051961405</v>
      </c>
      <c r="L18" s="279">
        <f t="shared" si="7"/>
        <v>12908.959411294594</v>
      </c>
      <c r="M18" s="279">
        <f t="shared" si="7"/>
        <v>13117.916026174746</v>
      </c>
      <c r="N18" s="279">
        <f t="shared" si="7"/>
        <v>13352.550608178208</v>
      </c>
      <c r="O18" s="279">
        <f t="shared" si="7"/>
        <v>13612.431720636727</v>
      </c>
      <c r="P18" s="279">
        <f t="shared" si="7"/>
        <v>13901.011066393248</v>
      </c>
      <c r="Q18" s="279">
        <f t="shared" si="7"/>
        <v>14219.904908091044</v>
      </c>
      <c r="R18" s="279">
        <f t="shared" si="7"/>
        <v>14525.917299211427</v>
      </c>
      <c r="S18" s="279">
        <f t="shared" si="7"/>
        <v>14861.777082107808</v>
      </c>
      <c r="T18" s="279">
        <f t="shared" si="7"/>
        <v>15195.505354742061</v>
      </c>
      <c r="U18" s="279">
        <f t="shared" si="7"/>
        <v>15521.070773489531</v>
      </c>
      <c r="V18" s="279">
        <f t="shared" si="7"/>
        <v>15840.576089120401</v>
      </c>
      <c r="W18" s="279">
        <f t="shared" si="7"/>
        <v>16154.021301634672</v>
      </c>
      <c r="X18" s="279">
        <f>SUM(X19:X21)</f>
        <v>16968.200248472556</v>
      </c>
      <c r="Y18" s="279">
        <f>SUM(Y19:Y21)</f>
        <v>17776.064464016876</v>
      </c>
      <c r="Z18" s="279">
        <f>SUM(Z19:Z21)</f>
        <v>18577.613948267634</v>
      </c>
      <c r="AA18" s="279">
        <f>SUM(AA19:AA21)</f>
        <v>19370.530418500701</v>
      </c>
      <c r="AB18" s="280">
        <f>SUM(AB19:AB21)</f>
        <v>20157.132157440203</v>
      </c>
    </row>
    <row r="19" spans="1:28" ht="14.15" x14ac:dyDescent="0.35">
      <c r="A19" s="274" t="s">
        <v>159</v>
      </c>
      <c r="B19" s="269" t="s">
        <v>2</v>
      </c>
      <c r="C19" s="270">
        <f>投资计划!F12</f>
        <v>11457.443741126881</v>
      </c>
      <c r="D19" s="276">
        <f>C19+投资计划!G13</f>
        <v>11457.443741126881</v>
      </c>
      <c r="E19" s="279">
        <f>现金流量!F50+D19</f>
        <v>11457.443741126881</v>
      </c>
      <c r="F19" s="279">
        <f>现金流量!G50+E19</f>
        <v>11457.443741126881</v>
      </c>
      <c r="G19" s="279">
        <f>现金流量!H50+F19</f>
        <v>11457.443741126881</v>
      </c>
      <c r="H19" s="279">
        <f>现金流量!I50+G19</f>
        <v>11457.443741126881</v>
      </c>
      <c r="I19" s="279">
        <f>现金流量!J50+H19</f>
        <v>11457.443741126881</v>
      </c>
      <c r="J19" s="279">
        <f>现金流量!K50+I19</f>
        <v>11457.443741126881</v>
      </c>
      <c r="K19" s="279">
        <f>现金流量!L50+J19</f>
        <v>11457.443741126881</v>
      </c>
      <c r="L19" s="279">
        <f>现金流量!M50+K19</f>
        <v>11457.443741126881</v>
      </c>
      <c r="M19" s="279">
        <f>现金流量!N50+L19</f>
        <v>11457.443741126881</v>
      </c>
      <c r="N19" s="279">
        <f>现金流量!O50+M19</f>
        <v>11457.443741126881</v>
      </c>
      <c r="O19" s="279">
        <f>现金流量!P50+N19</f>
        <v>11457.443741126881</v>
      </c>
      <c r="P19" s="279">
        <f>现金流量!Q50+O19</f>
        <v>11457.443741126881</v>
      </c>
      <c r="Q19" s="279">
        <f>现金流量!R50+P19</f>
        <v>11457.443741126881</v>
      </c>
      <c r="R19" s="279">
        <f>现金流量!S50+Q19</f>
        <v>11457.443741126881</v>
      </c>
      <c r="S19" s="279">
        <f>现金流量!T50+R19</f>
        <v>11457.443741126881</v>
      </c>
      <c r="T19" s="279">
        <f>现金流量!U50+S19</f>
        <v>11457.443741126881</v>
      </c>
      <c r="U19" s="279">
        <f>现金流量!V50+T19</f>
        <v>11457.443741126881</v>
      </c>
      <c r="V19" s="279">
        <f>现金流量!W50+U19</f>
        <v>11457.443741126881</v>
      </c>
      <c r="W19" s="279">
        <f>现金流量!X50+V19</f>
        <v>11457.443741126881</v>
      </c>
      <c r="X19" s="279">
        <f>现金流量!Y50+W19</f>
        <v>11457.443741126881</v>
      </c>
      <c r="Y19" s="279">
        <f>现金流量!Z50+X19</f>
        <v>11457.443741126881</v>
      </c>
      <c r="Z19" s="279">
        <f>现金流量!AA50+Y19</f>
        <v>11457.443741126881</v>
      </c>
      <c r="AA19" s="279">
        <f>现金流量!AB50+Z19</f>
        <v>11457.443741126881</v>
      </c>
      <c r="AB19" s="280">
        <f>现金流量!AC50+AA19</f>
        <v>11457.443741126881</v>
      </c>
    </row>
    <row r="20" spans="1:28" ht="14.15" x14ac:dyDescent="0.35">
      <c r="A20" s="274" t="s">
        <v>160</v>
      </c>
      <c r="B20" s="269" t="s">
        <v>161</v>
      </c>
      <c r="C20" s="269"/>
      <c r="D20" s="272">
        <f>损益!G27+损益!G28</f>
        <v>29.544424236555486</v>
      </c>
      <c r="E20" s="272">
        <f>损益!H27+损益!H28+D20</f>
        <v>83.63389586045335</v>
      </c>
      <c r="F20" s="272">
        <f>损益!I27+损益!I28+E20</f>
        <v>144.51968657276487</v>
      </c>
      <c r="G20" s="272">
        <f>损益!J27+损益!J28+F20</f>
        <v>195.9211667699191</v>
      </c>
      <c r="H20" s="272">
        <f>损益!K27+损益!K28+G20</f>
        <v>254.83073245212012</v>
      </c>
      <c r="I20" s="272">
        <f>损益!L27+损益!L28+H20</f>
        <v>320.99572795501348</v>
      </c>
      <c r="J20" s="272">
        <f>损益!M27+损益!M28+I20</f>
        <v>384.96528847794877</v>
      </c>
      <c r="K20" s="272">
        <f>损益!N27+损益!N28+J20</f>
        <v>452.43777803113187</v>
      </c>
      <c r="L20" s="272">
        <f>损益!O27+损益!O28+K20</f>
        <v>518.39809648846915</v>
      </c>
      <c r="M20" s="272">
        <f>损益!P27+损益!P28+L20</f>
        <v>593.02545894566595</v>
      </c>
      <c r="N20" s="272">
        <f>损益!Q27+损益!Q28+M20</f>
        <v>676.82352394690224</v>
      </c>
      <c r="O20" s="272">
        <f>损益!R27+损益!R28+N20</f>
        <v>769.63820696780283</v>
      </c>
      <c r="P20" s="272">
        <f>损益!S27+损益!S28+O20</f>
        <v>872.70225902370282</v>
      </c>
      <c r="Q20" s="272">
        <f>损益!T27+损益!T28+P20</f>
        <v>986.59291677291617</v>
      </c>
      <c r="R20" s="272">
        <f>损益!U27+损益!U28+Q20</f>
        <v>1095.8830564587668</v>
      </c>
      <c r="S20" s="272">
        <f>损益!V27+损益!V28+R20</f>
        <v>1215.8329789217596</v>
      </c>
      <c r="T20" s="272">
        <f>损益!W27+损益!W28+S20</f>
        <v>1335.0216477197075</v>
      </c>
      <c r="U20" s="272">
        <f>损益!X27+损益!X28+T20</f>
        <v>1451.29501155809</v>
      </c>
      <c r="V20" s="272">
        <f>损益!Y27+损益!Y28+U20</f>
        <v>1565.4040528548292</v>
      </c>
      <c r="W20" s="272">
        <f>损益!Z27+损益!Z28+V20</f>
        <v>1677.3487716099253</v>
      </c>
      <c r="X20" s="272">
        <f>损益!AA27+损益!AA28+W20</f>
        <v>1968.1269669091698</v>
      </c>
      <c r="Y20" s="272">
        <f>损益!AB27+损益!AB28+X20</f>
        <v>2256.6499010321418</v>
      </c>
      <c r="Z20" s="272">
        <f>损益!AC27+损益!AC28+Y20</f>
        <v>2542.9175739788407</v>
      </c>
      <c r="AA20" s="272">
        <f>损益!AD27+损益!AD28+Z20</f>
        <v>2826.1020276335075</v>
      </c>
      <c r="AB20" s="273">
        <f>损益!AE27+损益!AE28+AA20</f>
        <v>3107.0312201119018</v>
      </c>
    </row>
    <row r="21" spans="1:28" ht="14.15" x14ac:dyDescent="0.35">
      <c r="A21" s="274" t="s">
        <v>162</v>
      </c>
      <c r="B21" s="269" t="s">
        <v>59</v>
      </c>
      <c r="C21" s="269"/>
      <c r="D21" s="272">
        <f>损益!G33</f>
        <v>53.180963625799869</v>
      </c>
      <c r="E21" s="272">
        <f>损益!H33+D21</f>
        <v>150.54201254881602</v>
      </c>
      <c r="F21" s="272">
        <f>损益!I33+E21</f>
        <v>260.13643583097678</v>
      </c>
      <c r="G21" s="272">
        <f>损益!J33+F21</f>
        <v>352.65910018585436</v>
      </c>
      <c r="H21" s="272">
        <f>损益!K33+G21</f>
        <v>458.69631841381619</v>
      </c>
      <c r="I21" s="272">
        <f>损益!L33+H21</f>
        <v>577.79331031902416</v>
      </c>
      <c r="J21" s="272">
        <f>损益!M33+I21</f>
        <v>692.93851926030766</v>
      </c>
      <c r="K21" s="272">
        <f>损益!N33+J21</f>
        <v>814.38900045603725</v>
      </c>
      <c r="L21" s="272">
        <f>损益!O33+K21</f>
        <v>933.11757367924429</v>
      </c>
      <c r="M21" s="272">
        <f>损益!P33+L21</f>
        <v>1067.4468261021984</v>
      </c>
      <c r="N21" s="272">
        <f>损益!Q33+M21</f>
        <v>1218.2833431044237</v>
      </c>
      <c r="O21" s="272">
        <f>损益!R33+N21</f>
        <v>1385.3497725420448</v>
      </c>
      <c r="P21" s="272">
        <f>损益!S33+O21</f>
        <v>1570.8650662426646</v>
      </c>
      <c r="Q21" s="272">
        <f>损益!T33+P21</f>
        <v>1775.8682501912485</v>
      </c>
      <c r="R21" s="272">
        <f>损益!U33+Q21</f>
        <v>1972.5905016257798</v>
      </c>
      <c r="S21" s="272">
        <f>损益!V33+R21</f>
        <v>2188.5003620591669</v>
      </c>
      <c r="T21" s="272">
        <f>损益!W33+S21</f>
        <v>2403.039965895473</v>
      </c>
      <c r="U21" s="272">
        <f>损益!X33+T21</f>
        <v>2612.3320208045611</v>
      </c>
      <c r="V21" s="272">
        <f>损益!Y33+U21</f>
        <v>2817.7282951386919</v>
      </c>
      <c r="W21" s="272">
        <f>损益!Z33+V21</f>
        <v>3019.2287888978649</v>
      </c>
      <c r="X21" s="272">
        <f>损益!AA33+W21</f>
        <v>3542.6295404365046</v>
      </c>
      <c r="Y21" s="272">
        <f>损益!AB33+X21</f>
        <v>4061.9708218578535</v>
      </c>
      <c r="Z21" s="272">
        <f>损益!AC33+Y21</f>
        <v>4577.2526331619119</v>
      </c>
      <c r="AA21" s="272">
        <f>损益!AD33+Z21</f>
        <v>5086.9846497403123</v>
      </c>
      <c r="AB21" s="273">
        <f>损益!AE33+AA21</f>
        <v>5592.6571962014214</v>
      </c>
    </row>
    <row r="22" spans="1:28" ht="13.75" x14ac:dyDescent="0.35">
      <c r="A22" s="282"/>
      <c r="B22" s="281"/>
      <c r="C22" s="281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4"/>
    </row>
    <row r="23" spans="1:28" ht="14.6" thickBot="1" x14ac:dyDescent="0.35">
      <c r="A23" s="285"/>
      <c r="B23" s="286" t="s">
        <v>163</v>
      </c>
      <c r="C23" s="286"/>
      <c r="D23" s="287">
        <f t="shared" ref="D23:AB23" si="8">D17/D5</f>
        <v>0.79098035814425627</v>
      </c>
      <c r="E23" s="287">
        <f t="shared" si="8"/>
        <v>0.77983117568023297</v>
      </c>
      <c r="F23" s="287">
        <f t="shared" si="8"/>
        <v>0.76699398896255289</v>
      </c>
      <c r="G23" s="287">
        <f t="shared" si="8"/>
        <v>0.75285310247486104</v>
      </c>
      <c r="H23" s="287">
        <f t="shared" si="8"/>
        <v>0.73629630166385163</v>
      </c>
      <c r="I23" s="287">
        <f t="shared" si="8"/>
        <v>0.71679072920160547</v>
      </c>
      <c r="J23" s="287">
        <f t="shared" si="8"/>
        <v>0.69405501345591725</v>
      </c>
      <c r="K23" s="287">
        <f t="shared" si="8"/>
        <v>0.66684905806101302</v>
      </c>
      <c r="L23" s="287">
        <f t="shared" si="8"/>
        <v>0.63402334643896663</v>
      </c>
      <c r="M23" s="287">
        <f t="shared" si="8"/>
        <v>0.59300819750582556</v>
      </c>
      <c r="N23" s="287">
        <f t="shared" si="8"/>
        <v>0.54059242166745369</v>
      </c>
      <c r="O23" s="287">
        <f t="shared" si="8"/>
        <v>0.47167200357574784</v>
      </c>
      <c r="P23" s="287">
        <f t="shared" si="8"/>
        <v>0.37743743373088229</v>
      </c>
      <c r="Q23" s="287">
        <f t="shared" si="8"/>
        <v>0.24158004896384316</v>
      </c>
      <c r="R23" s="287">
        <f t="shared" si="8"/>
        <v>5.7124545978948456E-2</v>
      </c>
      <c r="S23" s="287">
        <f t="shared" si="8"/>
        <v>2.9389142591805455E-2</v>
      </c>
      <c r="T23" s="287">
        <f t="shared" si="8"/>
        <v>2.8762254065741181E-2</v>
      </c>
      <c r="U23" s="287">
        <f t="shared" si="8"/>
        <v>2.8175944267115938E-2</v>
      </c>
      <c r="V23" s="287">
        <f t="shared" si="8"/>
        <v>2.7623332504523031E-2</v>
      </c>
      <c r="W23" s="287">
        <f t="shared" si="8"/>
        <v>2.7101868386286799E-2</v>
      </c>
      <c r="X23" s="287">
        <f t="shared" si="8"/>
        <v>2.5835045732664708E-2</v>
      </c>
      <c r="Y23" s="287">
        <f t="shared" si="8"/>
        <v>2.4689915965589861E-2</v>
      </c>
      <c r="Z23" s="287">
        <f t="shared" si="8"/>
        <v>2.3649838662034153E-2</v>
      </c>
      <c r="AA23" s="287">
        <f t="shared" si="8"/>
        <v>2.2703731459172521E-2</v>
      </c>
      <c r="AB23" s="288">
        <f t="shared" si="8"/>
        <v>2.183709972653947E-2</v>
      </c>
    </row>
    <row r="24" spans="1:28" ht="12" customHeight="1" x14ac:dyDescent="0.3"/>
    <row r="25" spans="1:28" s="290" customFormat="1" x14ac:dyDescent="0.3">
      <c r="B25" s="291"/>
      <c r="C25" s="292">
        <f>C5-C13</f>
        <v>0</v>
      </c>
      <c r="D25" s="292">
        <f t="shared" ref="D25:AB25" si="9">D5-D13</f>
        <v>0</v>
      </c>
      <c r="E25" s="292">
        <f t="shared" si="9"/>
        <v>0</v>
      </c>
      <c r="F25" s="292">
        <f t="shared" si="9"/>
        <v>0</v>
      </c>
      <c r="G25" s="292">
        <f t="shared" si="9"/>
        <v>0</v>
      </c>
      <c r="H25" s="292">
        <f t="shared" si="9"/>
        <v>0</v>
      </c>
      <c r="I25" s="292">
        <f t="shared" si="9"/>
        <v>0</v>
      </c>
      <c r="J25" s="292">
        <f t="shared" si="9"/>
        <v>0</v>
      </c>
      <c r="K25" s="292">
        <f t="shared" si="9"/>
        <v>0</v>
      </c>
      <c r="L25" s="292">
        <f t="shared" si="9"/>
        <v>0</v>
      </c>
      <c r="M25" s="292">
        <f t="shared" si="9"/>
        <v>0</v>
      </c>
      <c r="N25" s="292">
        <f t="shared" si="9"/>
        <v>0</v>
      </c>
      <c r="O25" s="292">
        <f t="shared" si="9"/>
        <v>0</v>
      </c>
      <c r="P25" s="292">
        <f t="shared" si="9"/>
        <v>0</v>
      </c>
      <c r="Q25" s="292">
        <f t="shared" si="9"/>
        <v>0</v>
      </c>
      <c r="R25" s="292">
        <f t="shared" si="9"/>
        <v>0</v>
      </c>
      <c r="S25" s="292">
        <f t="shared" si="9"/>
        <v>-1.4551915228366852E-11</v>
      </c>
      <c r="T25" s="292">
        <f t="shared" si="9"/>
        <v>-1.4551915228366852E-11</v>
      </c>
      <c r="U25" s="292">
        <f t="shared" si="9"/>
        <v>-1.4551915228366852E-11</v>
      </c>
      <c r="V25" s="292">
        <f t="shared" si="9"/>
        <v>-1.4551915228366852E-11</v>
      </c>
      <c r="W25" s="292">
        <f t="shared" si="9"/>
        <v>0</v>
      </c>
      <c r="X25" s="292">
        <f t="shared" si="9"/>
        <v>0</v>
      </c>
      <c r="Y25" s="292">
        <f t="shared" si="9"/>
        <v>0</v>
      </c>
      <c r="Z25" s="292">
        <f t="shared" si="9"/>
        <v>0</v>
      </c>
      <c r="AA25" s="292">
        <f t="shared" si="9"/>
        <v>0</v>
      </c>
      <c r="AB25" s="292">
        <f t="shared" si="9"/>
        <v>0</v>
      </c>
    </row>
    <row r="26" spans="1:28" x14ac:dyDescent="0.3">
      <c r="C26" s="292">
        <f>C6-C14</f>
        <v>0</v>
      </c>
      <c r="D26" s="292">
        <f>D25-C25</f>
        <v>0</v>
      </c>
      <c r="E26" s="292">
        <f>E25-D25</f>
        <v>0</v>
      </c>
      <c r="F26" s="292">
        <f t="shared" ref="F26:AB26" si="10">F25-E25</f>
        <v>0</v>
      </c>
      <c r="G26" s="292">
        <f t="shared" si="10"/>
        <v>0</v>
      </c>
      <c r="H26" s="292">
        <f t="shared" si="10"/>
        <v>0</v>
      </c>
      <c r="I26" s="292">
        <f t="shared" si="10"/>
        <v>0</v>
      </c>
      <c r="J26" s="292">
        <f t="shared" si="10"/>
        <v>0</v>
      </c>
      <c r="K26" s="292">
        <f t="shared" si="10"/>
        <v>0</v>
      </c>
      <c r="L26" s="292">
        <f t="shared" si="10"/>
        <v>0</v>
      </c>
      <c r="M26" s="292">
        <f t="shared" si="10"/>
        <v>0</v>
      </c>
      <c r="N26" s="292">
        <f t="shared" si="10"/>
        <v>0</v>
      </c>
      <c r="O26" s="292">
        <f t="shared" si="10"/>
        <v>0</v>
      </c>
      <c r="P26" s="292">
        <f t="shared" si="10"/>
        <v>0</v>
      </c>
      <c r="Q26" s="292">
        <f t="shared" si="10"/>
        <v>0</v>
      </c>
      <c r="R26" s="292">
        <f t="shared" si="10"/>
        <v>0</v>
      </c>
      <c r="S26" s="292">
        <f t="shared" si="10"/>
        <v>-1.4551915228366852E-11</v>
      </c>
      <c r="T26" s="292">
        <f t="shared" si="10"/>
        <v>0</v>
      </c>
      <c r="U26" s="292">
        <f t="shared" si="10"/>
        <v>0</v>
      </c>
      <c r="V26" s="292">
        <f t="shared" si="10"/>
        <v>0</v>
      </c>
      <c r="W26" s="292">
        <f t="shared" si="10"/>
        <v>1.4551915228366852E-11</v>
      </c>
      <c r="X26" s="292">
        <f t="shared" si="10"/>
        <v>0</v>
      </c>
      <c r="Y26" s="292">
        <f t="shared" si="10"/>
        <v>0</v>
      </c>
      <c r="Z26" s="292">
        <f t="shared" si="10"/>
        <v>0</v>
      </c>
      <c r="AA26" s="292">
        <f t="shared" si="10"/>
        <v>0</v>
      </c>
      <c r="AB26" s="292">
        <f t="shared" si="10"/>
        <v>0</v>
      </c>
    </row>
    <row r="28" spans="1:28" x14ac:dyDescent="0.3">
      <c r="D28" s="293">
        <f>MAX(D23:AB23)</f>
        <v>0.79098035814425627</v>
      </c>
    </row>
    <row r="31" spans="1:28" x14ac:dyDescent="0.3"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</row>
    <row r="32" spans="1:28" x14ac:dyDescent="0.3">
      <c r="E32" s="292"/>
    </row>
  </sheetData>
  <mergeCells count="4">
    <mergeCell ref="A1:X1"/>
    <mergeCell ref="D3:AB3"/>
    <mergeCell ref="A3:A4"/>
    <mergeCell ref="B3:B4"/>
  </mergeCells>
  <phoneticPr fontId="61" type="noConversion"/>
  <pageMargins left="0.16944444444444445" right="0.4" top="1" bottom="1" header="0.5" footer="0.5"/>
  <pageSetup paperSize="9"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85A1-A77C-4FFE-B543-1226D240229B}">
  <dimension ref="B1:AD37"/>
  <sheetViews>
    <sheetView zoomScale="80" workbookViewId="0">
      <pane xSplit="3" ySplit="5" topLeftCell="D15" activePane="bottomRight" state="frozen"/>
      <selection pane="topRight"/>
      <selection pane="bottomLeft"/>
      <selection pane="bottomRight" activeCell="X29" sqref="X29"/>
    </sheetView>
  </sheetViews>
  <sheetFormatPr defaultColWidth="9" defaultRowHeight="12.9" x14ac:dyDescent="0.3"/>
  <cols>
    <col min="1" max="1" width="2.35546875" style="36" customWidth="1"/>
    <col min="2" max="2" width="4.2109375" style="37" customWidth="1"/>
    <col min="3" max="3" width="19.5" style="37" customWidth="1"/>
    <col min="4" max="4" width="7.85546875" style="37" customWidth="1"/>
    <col min="5" max="5" width="8.7109375" style="36" customWidth="1"/>
    <col min="6" max="6" width="7.35546875" style="36" customWidth="1"/>
    <col min="7" max="7" width="8.0703125" style="36" customWidth="1"/>
    <col min="8" max="8" width="8" style="36" customWidth="1"/>
    <col min="9" max="9" width="7" style="36" customWidth="1"/>
    <col min="10" max="10" width="7.5" style="36" customWidth="1"/>
    <col min="11" max="11" width="7" style="36" customWidth="1"/>
    <col min="12" max="12" width="7.35546875" style="36" customWidth="1"/>
    <col min="13" max="13" width="7" style="36" customWidth="1"/>
    <col min="14" max="14" width="7.0703125" style="36" customWidth="1"/>
    <col min="15" max="15" width="7" style="36" customWidth="1"/>
    <col min="16" max="30" width="7.85546875" style="36" customWidth="1"/>
    <col min="31" max="16384" width="9" style="36"/>
  </cols>
  <sheetData>
    <row r="1" spans="2:30" ht="27.75" customHeight="1" x14ac:dyDescent="0.3">
      <c r="B1" s="529" t="s">
        <v>164</v>
      </c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  <c r="AC1" s="529"/>
      <c r="AD1" s="529"/>
    </row>
    <row r="2" spans="2:30" ht="20.6" thickBot="1" x14ac:dyDescent="0.35">
      <c r="C2" s="38"/>
      <c r="D2" s="3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30" s="34" customFormat="1" ht="17.149999999999999" customHeight="1" x14ac:dyDescent="0.3">
      <c r="B3" s="532" t="s">
        <v>0</v>
      </c>
      <c r="C3" s="534" t="s">
        <v>7</v>
      </c>
      <c r="D3" s="40"/>
      <c r="E3" s="41" t="s">
        <v>68</v>
      </c>
      <c r="F3" s="41"/>
      <c r="G3" s="41"/>
      <c r="H3" s="534" t="s">
        <v>34</v>
      </c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  <c r="AC3" s="544"/>
      <c r="AD3" s="563" t="s">
        <v>11</v>
      </c>
    </row>
    <row r="4" spans="2:30" s="34" customFormat="1" ht="17.149999999999999" customHeight="1" x14ac:dyDescent="0.3">
      <c r="B4" s="533"/>
      <c r="C4" s="535"/>
      <c r="D4" s="5">
        <f>成本!D4</f>
        <v>1</v>
      </c>
      <c r="E4" s="5">
        <f>成本!E4</f>
        <v>1</v>
      </c>
      <c r="F4" s="5">
        <f>成本!F4</f>
        <v>2</v>
      </c>
      <c r="G4" s="5">
        <f>成本!G4</f>
        <v>3</v>
      </c>
      <c r="H4" s="5">
        <f>成本!H4</f>
        <v>4</v>
      </c>
      <c r="I4" s="5">
        <f>成本!I4</f>
        <v>5</v>
      </c>
      <c r="J4" s="5">
        <f>成本!J4</f>
        <v>6</v>
      </c>
      <c r="K4" s="5">
        <f>成本!K4</f>
        <v>7</v>
      </c>
      <c r="L4" s="5">
        <f>成本!L4</f>
        <v>8</v>
      </c>
      <c r="M4" s="5">
        <f>成本!M4</f>
        <v>9</v>
      </c>
      <c r="N4" s="5">
        <f>成本!N4</f>
        <v>10</v>
      </c>
      <c r="O4" s="5">
        <f>成本!O4</f>
        <v>11</v>
      </c>
      <c r="P4" s="5">
        <f>成本!P4</f>
        <v>12</v>
      </c>
      <c r="Q4" s="5">
        <f>成本!Q4</f>
        <v>13</v>
      </c>
      <c r="R4" s="5">
        <f>成本!R4</f>
        <v>14</v>
      </c>
      <c r="S4" s="5">
        <f>成本!S4</f>
        <v>15</v>
      </c>
      <c r="T4" s="5">
        <f>成本!T4</f>
        <v>16</v>
      </c>
      <c r="U4" s="5">
        <f>成本!U4</f>
        <v>17</v>
      </c>
      <c r="V4" s="5">
        <f>成本!V4</f>
        <v>18</v>
      </c>
      <c r="W4" s="5">
        <f>成本!W4</f>
        <v>19</v>
      </c>
      <c r="X4" s="5">
        <f>成本!X4</f>
        <v>20</v>
      </c>
      <c r="Y4" s="5">
        <f>成本!Y4</f>
        <v>21</v>
      </c>
      <c r="Z4" s="5">
        <f>成本!Z4</f>
        <v>22</v>
      </c>
      <c r="AA4" s="5">
        <f>成本!AA4</f>
        <v>23</v>
      </c>
      <c r="AB4" s="5">
        <f>成本!AB4</f>
        <v>24</v>
      </c>
      <c r="AC4" s="5">
        <f>成本!AC4</f>
        <v>25</v>
      </c>
      <c r="AD4" s="564"/>
    </row>
    <row r="5" spans="2:30" ht="17.149999999999999" customHeight="1" x14ac:dyDescent="0.3">
      <c r="B5" s="44">
        <v>1</v>
      </c>
      <c r="C5" s="45" t="s">
        <v>25</v>
      </c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61"/>
      <c r="V5" s="61"/>
      <c r="W5" s="61"/>
      <c r="X5" s="61"/>
      <c r="Y5" s="61"/>
      <c r="Z5" s="61"/>
      <c r="AA5" s="61"/>
      <c r="AB5" s="61"/>
      <c r="AC5" s="61"/>
      <c r="AD5" s="63"/>
    </row>
    <row r="6" spans="2:30" ht="16.5" customHeight="1" x14ac:dyDescent="0.35">
      <c r="B6" s="42">
        <v>1.1000000000000001</v>
      </c>
      <c r="C6" s="47" t="s">
        <v>165</v>
      </c>
      <c r="D6" s="48">
        <f>D8+D7</f>
        <v>45379.774964507531</v>
      </c>
      <c r="E6" s="48">
        <f>E8+E7</f>
        <v>45379.774964507531</v>
      </c>
      <c r="F6" s="49">
        <f t="shared" ref="F6:R6" si="0">F7+F8</f>
        <v>43220.762372624173</v>
      </c>
      <c r="G6" s="49">
        <f t="shared" si="0"/>
        <v>40961.355695218233</v>
      </c>
      <c r="H6" s="49">
        <f t="shared" si="0"/>
        <v>38596.886607312917</v>
      </c>
      <c r="I6" s="49">
        <f t="shared" si="0"/>
        <v>36122.469706820004</v>
      </c>
      <c r="J6" s="49">
        <f t="shared" si="0"/>
        <v>33532.992420454175</v>
      </c>
      <c r="K6" s="49">
        <f t="shared" si="0"/>
        <v>30823.104440272331</v>
      </c>
      <c r="L6" s="49">
        <f t="shared" si="0"/>
        <v>27987.206669012034</v>
      </c>
      <c r="M6" s="49">
        <f t="shared" si="0"/>
        <v>25019.439651388133</v>
      </c>
      <c r="N6" s="49">
        <f t="shared" si="0"/>
        <v>21913.671467444721</v>
      </c>
      <c r="O6" s="49">
        <f t="shared" si="0"/>
        <v>18663.485062947941</v>
      </c>
      <c r="P6" s="49">
        <f t="shared" si="0"/>
        <v>15262.164990642057</v>
      </c>
      <c r="Q6" s="49">
        <f t="shared" si="0"/>
        <v>11702.683534973952</v>
      </c>
      <c r="R6" s="49">
        <f t="shared" si="0"/>
        <v>7977.6861916172793</v>
      </c>
      <c r="S6" s="49">
        <f t="shared" ref="S6:Y6" si="1">S7+S8</f>
        <v>4079.4764717945213</v>
      </c>
      <c r="T6" s="49">
        <f t="shared" si="1"/>
        <v>5.0022208597511053E-12</v>
      </c>
      <c r="U6" s="49">
        <f t="shared" si="1"/>
        <v>5.0022208597511053E-12</v>
      </c>
      <c r="V6" s="49">
        <f t="shared" si="1"/>
        <v>5.0022208597511053E-12</v>
      </c>
      <c r="W6" s="49">
        <f t="shared" si="1"/>
        <v>5.0022208597511053E-12</v>
      </c>
      <c r="X6" s="49">
        <f t="shared" si="1"/>
        <v>5.0022208597511053E-12</v>
      </c>
      <c r="Y6" s="49">
        <f t="shared" si="1"/>
        <v>5.0022208597511053E-12</v>
      </c>
      <c r="Z6" s="49">
        <f>Z7+Z8</f>
        <v>5.0022208597511053E-12</v>
      </c>
      <c r="AA6" s="49">
        <f>AA7+AA8</f>
        <v>5.0022208597511053E-12</v>
      </c>
      <c r="AB6" s="49">
        <f>AB7+AB8</f>
        <v>5.0022208597511053E-12</v>
      </c>
      <c r="AC6" s="49">
        <f>AC7+AC8</f>
        <v>5.0022208597511053E-12</v>
      </c>
      <c r="AD6" s="63"/>
    </row>
    <row r="7" spans="2:30" ht="17.149999999999999" customHeight="1" x14ac:dyDescent="0.35">
      <c r="B7" s="143" t="s">
        <v>145</v>
      </c>
      <c r="C7" s="47" t="s">
        <v>166</v>
      </c>
      <c r="D7" s="48">
        <f>投资计划!F16</f>
        <v>44858.297258873128</v>
      </c>
      <c r="E7" s="48">
        <f>SUM(D6:D6)</f>
        <v>45379.774964507531</v>
      </c>
      <c r="F7" s="49">
        <f>E6-E10</f>
        <v>43220.762372624173</v>
      </c>
      <c r="G7" s="49">
        <f t="shared" ref="G7:Y7" si="2">F6-F10</f>
        <v>40961.355695218233</v>
      </c>
      <c r="H7" s="49">
        <f t="shared" si="2"/>
        <v>38596.886607312917</v>
      </c>
      <c r="I7" s="49">
        <f t="shared" si="2"/>
        <v>36122.469706820004</v>
      </c>
      <c r="J7" s="49">
        <f t="shared" si="2"/>
        <v>33532.992420454175</v>
      </c>
      <c r="K7" s="49">
        <f t="shared" si="2"/>
        <v>30823.104440272331</v>
      </c>
      <c r="L7" s="49">
        <f t="shared" si="2"/>
        <v>27987.206669012034</v>
      </c>
      <c r="M7" s="49">
        <f t="shared" si="2"/>
        <v>25019.439651388133</v>
      </c>
      <c r="N7" s="49">
        <f t="shared" si="2"/>
        <v>21913.671467444721</v>
      </c>
      <c r="O7" s="49">
        <f t="shared" si="2"/>
        <v>18663.485062947941</v>
      </c>
      <c r="P7" s="49">
        <f t="shared" si="2"/>
        <v>15262.164990642057</v>
      </c>
      <c r="Q7" s="49">
        <f t="shared" si="2"/>
        <v>11702.683534973952</v>
      </c>
      <c r="R7" s="49">
        <f t="shared" si="2"/>
        <v>7977.6861916172793</v>
      </c>
      <c r="S7" s="49">
        <f t="shared" si="2"/>
        <v>4079.4764717945213</v>
      </c>
      <c r="T7" s="49">
        <f t="shared" si="2"/>
        <v>5.0022208597511053E-12</v>
      </c>
      <c r="U7" s="49">
        <f t="shared" si="2"/>
        <v>5.0022208597511053E-12</v>
      </c>
      <c r="V7" s="49">
        <f t="shared" si="2"/>
        <v>5.0022208597511053E-12</v>
      </c>
      <c r="W7" s="49">
        <f t="shared" si="2"/>
        <v>5.0022208597511053E-12</v>
      </c>
      <c r="X7" s="49">
        <f t="shared" si="2"/>
        <v>5.0022208597511053E-12</v>
      </c>
      <c r="Y7" s="49">
        <f t="shared" si="2"/>
        <v>5.0022208597511053E-12</v>
      </c>
      <c r="Z7" s="49">
        <f>Y6-Y10</f>
        <v>5.0022208597511053E-12</v>
      </c>
      <c r="AA7" s="49">
        <f>Z6-Z10</f>
        <v>5.0022208597511053E-12</v>
      </c>
      <c r="AB7" s="49">
        <f>AA6-AA10</f>
        <v>5.0022208597511053E-12</v>
      </c>
      <c r="AC7" s="49">
        <f>AB6-AB10</f>
        <v>5.0022208597511053E-12</v>
      </c>
      <c r="AD7" s="63"/>
    </row>
    <row r="8" spans="2:30" ht="17.149999999999999" customHeight="1" x14ac:dyDescent="0.35">
      <c r="B8" s="143" t="s">
        <v>147</v>
      </c>
      <c r="C8" s="47" t="s">
        <v>167</v>
      </c>
      <c r="D8" s="48">
        <f>投资计划!F7</f>
        <v>521.47770563440008</v>
      </c>
      <c r="E8" s="48">
        <f>投资计划!G7</f>
        <v>0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63"/>
    </row>
    <row r="9" spans="2:30" ht="16.5" customHeight="1" x14ac:dyDescent="0.35">
      <c r="B9" s="143" t="s">
        <v>92</v>
      </c>
      <c r="C9" s="47" t="s">
        <v>168</v>
      </c>
      <c r="D9" s="47"/>
      <c r="E9" s="48">
        <f t="shared" ref="E9:S9" si="3">$E$35</f>
        <v>4269.1721277329616</v>
      </c>
      <c r="F9" s="48">
        <f t="shared" si="3"/>
        <v>4269.1721277329616</v>
      </c>
      <c r="G9" s="48">
        <f t="shared" si="3"/>
        <v>4269.1721277329616</v>
      </c>
      <c r="H9" s="48">
        <f t="shared" si="3"/>
        <v>4269.1721277329616</v>
      </c>
      <c r="I9" s="48">
        <f t="shared" si="3"/>
        <v>4269.1721277329616</v>
      </c>
      <c r="J9" s="48">
        <f t="shared" si="3"/>
        <v>4269.1721277329616</v>
      </c>
      <c r="K9" s="48">
        <f t="shared" si="3"/>
        <v>4269.1721277329616</v>
      </c>
      <c r="L9" s="48">
        <f t="shared" si="3"/>
        <v>4269.1721277329616</v>
      </c>
      <c r="M9" s="48">
        <f t="shared" si="3"/>
        <v>4269.1721277329616</v>
      </c>
      <c r="N9" s="48">
        <f t="shared" si="3"/>
        <v>4269.1721277329616</v>
      </c>
      <c r="O9" s="48">
        <f t="shared" si="3"/>
        <v>4269.1721277329616</v>
      </c>
      <c r="P9" s="48">
        <f t="shared" si="3"/>
        <v>4269.1721277329616</v>
      </c>
      <c r="Q9" s="48">
        <f t="shared" si="3"/>
        <v>4269.1721277329616</v>
      </c>
      <c r="R9" s="48">
        <f t="shared" si="3"/>
        <v>4269.1721277329616</v>
      </c>
      <c r="S9" s="48">
        <f t="shared" si="3"/>
        <v>4269.1721277329616</v>
      </c>
      <c r="T9" s="49">
        <f t="shared" ref="T9:Y9" si="4">T10+T11</f>
        <v>2.3260326997842638E-13</v>
      </c>
      <c r="U9" s="49">
        <f t="shared" si="4"/>
        <v>2.3260326997842638E-13</v>
      </c>
      <c r="V9" s="49">
        <f t="shared" si="4"/>
        <v>2.3260326997842638E-13</v>
      </c>
      <c r="W9" s="49">
        <f t="shared" si="4"/>
        <v>2.3260326997842638E-13</v>
      </c>
      <c r="X9" s="49">
        <f t="shared" si="4"/>
        <v>2.3260326997842638E-13</v>
      </c>
      <c r="Y9" s="49">
        <f t="shared" si="4"/>
        <v>2.3260326997842638E-13</v>
      </c>
      <c r="Z9" s="49">
        <f>Z10+Z11</f>
        <v>2.3260326997842638E-13</v>
      </c>
      <c r="AA9" s="49">
        <f>AA10+AA11</f>
        <v>2.3260326997842638E-13</v>
      </c>
      <c r="AB9" s="49">
        <f>AB10+AB11</f>
        <v>2.3260326997842638E-13</v>
      </c>
      <c r="AC9" s="49">
        <f>AC10+AC11</f>
        <v>2.3260326997842638E-13</v>
      </c>
      <c r="AD9" s="63"/>
    </row>
    <row r="10" spans="2:30" ht="16.5" customHeight="1" x14ac:dyDescent="0.35">
      <c r="B10" s="42"/>
      <c r="C10" s="47" t="s">
        <v>169</v>
      </c>
      <c r="D10" s="47"/>
      <c r="E10" s="49">
        <f t="shared" ref="E10:S10" si="5">E36</f>
        <v>2159.0125918833614</v>
      </c>
      <c r="F10" s="49">
        <f t="shared" si="5"/>
        <v>2259.4066774059374</v>
      </c>
      <c r="G10" s="49">
        <f t="shared" si="5"/>
        <v>2364.4690879053137</v>
      </c>
      <c r="H10" s="49">
        <f t="shared" si="5"/>
        <v>2474.4169004929108</v>
      </c>
      <c r="I10" s="49">
        <f t="shared" si="5"/>
        <v>2589.4772863658313</v>
      </c>
      <c r="J10" s="49">
        <f t="shared" si="5"/>
        <v>2709.8879801818425</v>
      </c>
      <c r="K10" s="49">
        <f t="shared" si="5"/>
        <v>2835.8977712602982</v>
      </c>
      <c r="L10" s="49">
        <f t="shared" si="5"/>
        <v>2967.7670176239021</v>
      </c>
      <c r="M10" s="49">
        <f t="shared" si="5"/>
        <v>3105.7681839434135</v>
      </c>
      <c r="N10" s="49">
        <f t="shared" si="5"/>
        <v>3250.186404496782</v>
      </c>
      <c r="O10" s="49">
        <f t="shared" si="5"/>
        <v>3401.3200723058826</v>
      </c>
      <c r="P10" s="49">
        <f t="shared" si="5"/>
        <v>3559.4814556681058</v>
      </c>
      <c r="Q10" s="49">
        <f t="shared" si="5"/>
        <v>3724.9973433566729</v>
      </c>
      <c r="R10" s="49">
        <f t="shared" si="5"/>
        <v>3898.209719822758</v>
      </c>
      <c r="S10" s="49">
        <f t="shared" si="5"/>
        <v>4079.4764717945163</v>
      </c>
      <c r="T10" s="49">
        <f t="shared" ref="T10:AC10" si="6">T37</f>
        <v>0</v>
      </c>
      <c r="U10" s="49">
        <f t="shared" si="6"/>
        <v>0</v>
      </c>
      <c r="V10" s="49">
        <f t="shared" si="6"/>
        <v>0</v>
      </c>
      <c r="W10" s="49">
        <f t="shared" si="6"/>
        <v>0</v>
      </c>
      <c r="X10" s="49">
        <f t="shared" si="6"/>
        <v>0</v>
      </c>
      <c r="Y10" s="49">
        <f t="shared" si="6"/>
        <v>0</v>
      </c>
      <c r="Z10" s="49">
        <f t="shared" si="6"/>
        <v>0</v>
      </c>
      <c r="AA10" s="49">
        <f t="shared" si="6"/>
        <v>0</v>
      </c>
      <c r="AB10" s="49">
        <f t="shared" si="6"/>
        <v>0</v>
      </c>
      <c r="AC10" s="49">
        <f t="shared" si="6"/>
        <v>0</v>
      </c>
      <c r="AD10" s="63"/>
    </row>
    <row r="11" spans="2:30" ht="17.149999999999999" customHeight="1" x14ac:dyDescent="0.35">
      <c r="B11" s="42"/>
      <c r="C11" s="47" t="s">
        <v>170</v>
      </c>
      <c r="D11" s="47"/>
      <c r="E11" s="49">
        <f>E6*参数表!$C$31</f>
        <v>2110.1595358496002</v>
      </c>
      <c r="F11" s="49">
        <f>F6*参数表!$C$31</f>
        <v>2009.7654503270239</v>
      </c>
      <c r="G11" s="49">
        <f>G6*参数表!$C$31</f>
        <v>1904.7030398276479</v>
      </c>
      <c r="H11" s="49">
        <f>H6*参数表!$C$31</f>
        <v>1794.7552272400505</v>
      </c>
      <c r="I11" s="49">
        <f>I6*参数表!$C$31</f>
        <v>1679.6948413671303</v>
      </c>
      <c r="J11" s="49">
        <f>J6*参数表!$C$31</f>
        <v>1559.2841475511191</v>
      </c>
      <c r="K11" s="49">
        <f>K6*参数表!$C$31</f>
        <v>1433.2743564726634</v>
      </c>
      <c r="L11" s="49">
        <f>L6*参数表!$C$31</f>
        <v>1301.4051101090595</v>
      </c>
      <c r="M11" s="49">
        <f>M6*参数表!$C$31</f>
        <v>1163.4039437895481</v>
      </c>
      <c r="N11" s="49">
        <f>N6*参数表!$C$31</f>
        <v>1018.9857232361795</v>
      </c>
      <c r="O11" s="49">
        <f>O6*参数表!$C$31</f>
        <v>867.85205542707922</v>
      </c>
      <c r="P11" s="49">
        <f>P6*参数表!$C$31</f>
        <v>709.69067206485568</v>
      </c>
      <c r="Q11" s="49">
        <f>Q6*参数表!$C$31</f>
        <v>544.17478437628881</v>
      </c>
      <c r="R11" s="49">
        <f>R6*参数表!$C$31</f>
        <v>370.96240791020347</v>
      </c>
      <c r="S11" s="49">
        <f>S6*参数表!$C$31</f>
        <v>189.69565593844524</v>
      </c>
      <c r="T11" s="49">
        <f>T6*参数表!$C$31</f>
        <v>2.3260326997842638E-13</v>
      </c>
      <c r="U11" s="49">
        <f>U6*参数表!$C$31</f>
        <v>2.3260326997842638E-13</v>
      </c>
      <c r="V11" s="49">
        <f>V6*参数表!$C$31</f>
        <v>2.3260326997842638E-13</v>
      </c>
      <c r="W11" s="49">
        <f>W6*参数表!$C$31</f>
        <v>2.3260326997842638E-13</v>
      </c>
      <c r="X11" s="49">
        <f>X6*参数表!$C$31</f>
        <v>2.3260326997842638E-13</v>
      </c>
      <c r="Y11" s="49">
        <f>Y6*参数表!$C$31</f>
        <v>2.3260326997842638E-13</v>
      </c>
      <c r="Z11" s="49">
        <f>Z6*参数表!$C$31</f>
        <v>2.3260326997842638E-13</v>
      </c>
      <c r="AA11" s="49">
        <f>AA6*参数表!$C$31</f>
        <v>2.3260326997842638E-13</v>
      </c>
      <c r="AB11" s="49">
        <f>AB6*参数表!$C$31</f>
        <v>2.3260326997842638E-13</v>
      </c>
      <c r="AC11" s="49">
        <f>AC6*参数表!$C$31</f>
        <v>2.3260326997842638E-13</v>
      </c>
      <c r="AD11" s="63"/>
    </row>
    <row r="12" spans="2:30" s="35" customFormat="1" ht="17.149999999999999" customHeight="1" x14ac:dyDescent="0.3">
      <c r="B12" s="44">
        <v>2</v>
      </c>
      <c r="C12" s="144" t="s">
        <v>27</v>
      </c>
      <c r="D12" s="45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64"/>
    </row>
    <row r="13" spans="2:30" ht="17.149999999999999" customHeight="1" x14ac:dyDescent="0.35">
      <c r="B13" s="42">
        <v>2.1</v>
      </c>
      <c r="C13" s="47" t="s">
        <v>165</v>
      </c>
      <c r="D13" s="47"/>
      <c r="E13" s="48">
        <f>投资计划!G18</f>
        <v>450</v>
      </c>
      <c r="F13" s="48">
        <f>E13</f>
        <v>450</v>
      </c>
      <c r="G13" s="48">
        <f>F13</f>
        <v>450</v>
      </c>
      <c r="H13" s="48">
        <f t="shared" ref="H13:AC13" si="7">G13</f>
        <v>450</v>
      </c>
      <c r="I13" s="48">
        <f t="shared" si="7"/>
        <v>450</v>
      </c>
      <c r="J13" s="48">
        <f t="shared" si="7"/>
        <v>450</v>
      </c>
      <c r="K13" s="48">
        <f t="shared" si="7"/>
        <v>450</v>
      </c>
      <c r="L13" s="48">
        <f t="shared" si="7"/>
        <v>450</v>
      </c>
      <c r="M13" s="48">
        <f t="shared" si="7"/>
        <v>450</v>
      </c>
      <c r="N13" s="48">
        <f t="shared" si="7"/>
        <v>450</v>
      </c>
      <c r="O13" s="48">
        <f t="shared" si="7"/>
        <v>450</v>
      </c>
      <c r="P13" s="48">
        <f t="shared" si="7"/>
        <v>450</v>
      </c>
      <c r="Q13" s="48">
        <f t="shared" si="7"/>
        <v>450</v>
      </c>
      <c r="R13" s="48">
        <f t="shared" si="7"/>
        <v>450</v>
      </c>
      <c r="S13" s="48">
        <f t="shared" si="7"/>
        <v>450</v>
      </c>
      <c r="T13" s="48">
        <f t="shared" si="7"/>
        <v>450</v>
      </c>
      <c r="U13" s="48">
        <f t="shared" si="7"/>
        <v>450</v>
      </c>
      <c r="V13" s="48">
        <f t="shared" si="7"/>
        <v>450</v>
      </c>
      <c r="W13" s="48">
        <f t="shared" si="7"/>
        <v>450</v>
      </c>
      <c r="X13" s="48">
        <f t="shared" si="7"/>
        <v>450</v>
      </c>
      <c r="Y13" s="48">
        <f t="shared" si="7"/>
        <v>450</v>
      </c>
      <c r="Z13" s="48">
        <f t="shared" si="7"/>
        <v>450</v>
      </c>
      <c r="AA13" s="48">
        <f t="shared" si="7"/>
        <v>450</v>
      </c>
      <c r="AB13" s="48">
        <f t="shared" si="7"/>
        <v>450</v>
      </c>
      <c r="AC13" s="48">
        <f t="shared" si="7"/>
        <v>450</v>
      </c>
      <c r="AD13" s="63"/>
    </row>
    <row r="14" spans="2:30" ht="17.149999999999999" customHeight="1" x14ac:dyDescent="0.35">
      <c r="B14" s="42">
        <v>2.2000000000000002</v>
      </c>
      <c r="C14" s="47" t="s">
        <v>168</v>
      </c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63"/>
    </row>
    <row r="15" spans="2:30" ht="17.149999999999999" customHeight="1" x14ac:dyDescent="0.35">
      <c r="B15" s="42"/>
      <c r="C15" s="47" t="s">
        <v>169</v>
      </c>
      <c r="D15" s="47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63"/>
    </row>
    <row r="16" spans="2:30" ht="17.149999999999999" customHeight="1" x14ac:dyDescent="0.35">
      <c r="B16" s="42"/>
      <c r="C16" s="47" t="s">
        <v>170</v>
      </c>
      <c r="D16" s="47"/>
      <c r="E16" s="48">
        <f>E13*流动资金贷款利率</f>
        <v>19.574999999999999</v>
      </c>
      <c r="F16" s="48">
        <f t="shared" ref="F16:AC16" si="8">F13*流动资金贷款利率</f>
        <v>19.574999999999999</v>
      </c>
      <c r="G16" s="48">
        <f t="shared" si="8"/>
        <v>19.574999999999999</v>
      </c>
      <c r="H16" s="48">
        <f t="shared" si="8"/>
        <v>19.574999999999999</v>
      </c>
      <c r="I16" s="48">
        <f t="shared" si="8"/>
        <v>19.574999999999999</v>
      </c>
      <c r="J16" s="48">
        <f t="shared" si="8"/>
        <v>19.574999999999999</v>
      </c>
      <c r="K16" s="48">
        <f t="shared" si="8"/>
        <v>19.574999999999999</v>
      </c>
      <c r="L16" s="48">
        <f t="shared" si="8"/>
        <v>19.574999999999999</v>
      </c>
      <c r="M16" s="48">
        <f t="shared" si="8"/>
        <v>19.574999999999999</v>
      </c>
      <c r="N16" s="48">
        <f t="shared" si="8"/>
        <v>19.574999999999999</v>
      </c>
      <c r="O16" s="48">
        <f t="shared" si="8"/>
        <v>19.574999999999999</v>
      </c>
      <c r="P16" s="48">
        <f t="shared" si="8"/>
        <v>19.574999999999999</v>
      </c>
      <c r="Q16" s="48">
        <f t="shared" si="8"/>
        <v>19.574999999999999</v>
      </c>
      <c r="R16" s="48">
        <f t="shared" si="8"/>
        <v>19.574999999999999</v>
      </c>
      <c r="S16" s="48">
        <f t="shared" si="8"/>
        <v>19.574999999999999</v>
      </c>
      <c r="T16" s="48">
        <f t="shared" si="8"/>
        <v>19.574999999999999</v>
      </c>
      <c r="U16" s="48">
        <f t="shared" si="8"/>
        <v>19.574999999999999</v>
      </c>
      <c r="V16" s="48">
        <f t="shared" si="8"/>
        <v>19.574999999999999</v>
      </c>
      <c r="W16" s="48">
        <f t="shared" si="8"/>
        <v>19.574999999999999</v>
      </c>
      <c r="X16" s="48">
        <f t="shared" si="8"/>
        <v>19.574999999999999</v>
      </c>
      <c r="Y16" s="48">
        <f t="shared" si="8"/>
        <v>19.574999999999999</v>
      </c>
      <c r="Z16" s="48">
        <f t="shared" si="8"/>
        <v>19.574999999999999</v>
      </c>
      <c r="AA16" s="48">
        <f t="shared" si="8"/>
        <v>19.574999999999999</v>
      </c>
      <c r="AB16" s="48">
        <f t="shared" si="8"/>
        <v>19.574999999999999</v>
      </c>
      <c r="AC16" s="48">
        <f t="shared" si="8"/>
        <v>19.574999999999999</v>
      </c>
      <c r="AD16" s="63"/>
    </row>
    <row r="17" spans="2:30" ht="17.149999999999999" customHeight="1" x14ac:dyDescent="0.35">
      <c r="B17" s="44">
        <v>3</v>
      </c>
      <c r="C17" s="51" t="s">
        <v>156</v>
      </c>
      <c r="D17" s="51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63"/>
    </row>
    <row r="18" spans="2:30" ht="17.149999999999999" customHeight="1" x14ac:dyDescent="0.35">
      <c r="B18" s="42">
        <v>3.1</v>
      </c>
      <c r="C18" s="47" t="s">
        <v>165</v>
      </c>
      <c r="D18" s="48"/>
      <c r="E18" s="48">
        <f>财务计划!D22</f>
        <v>0</v>
      </c>
      <c r="F18" s="48">
        <f>财务计划!E22</f>
        <v>0</v>
      </c>
      <c r="G18" s="48">
        <f>财务计划!F22</f>
        <v>0</v>
      </c>
      <c r="H18" s="49">
        <f>财务计划!G22</f>
        <v>0</v>
      </c>
      <c r="I18" s="49">
        <f>财务计划!H22</f>
        <v>0</v>
      </c>
      <c r="J18" s="49">
        <f>财务计划!I22</f>
        <v>0</v>
      </c>
      <c r="K18" s="49">
        <f>财务计划!J22</f>
        <v>0</v>
      </c>
      <c r="L18" s="49">
        <f>财务计划!K22</f>
        <v>0</v>
      </c>
      <c r="M18" s="49">
        <f>财务计划!L22</f>
        <v>0</v>
      </c>
      <c r="N18" s="49">
        <f>财务计划!M22</f>
        <v>0</v>
      </c>
      <c r="O18" s="49">
        <f>财务计划!N22</f>
        <v>0</v>
      </c>
      <c r="P18" s="49">
        <f>财务计划!O22</f>
        <v>0</v>
      </c>
      <c r="Q18" s="49">
        <f>财务计划!P22</f>
        <v>0</v>
      </c>
      <c r="R18" s="49">
        <f>财务计划!Q22</f>
        <v>0</v>
      </c>
      <c r="S18" s="49">
        <f>财务计划!R22</f>
        <v>0</v>
      </c>
      <c r="T18" s="49">
        <f>财务计划!S22</f>
        <v>430.05942577721817</v>
      </c>
      <c r="U18" s="49">
        <f>财务计划!T22</f>
        <v>0</v>
      </c>
      <c r="V18" s="49">
        <f>财务计划!V22</f>
        <v>0</v>
      </c>
      <c r="W18" s="49">
        <f>财务计划!W22</f>
        <v>0</v>
      </c>
      <c r="X18" s="49">
        <f>财务计划!X22</f>
        <v>0</v>
      </c>
      <c r="Y18" s="49">
        <f>财务计划!Y22</f>
        <v>0</v>
      </c>
      <c r="Z18" s="49">
        <f>财务计划!Z22</f>
        <v>0</v>
      </c>
      <c r="AA18" s="49">
        <f>财务计划!AA22</f>
        <v>0</v>
      </c>
      <c r="AB18" s="49">
        <f>财务计划!AB22</f>
        <v>0</v>
      </c>
      <c r="AC18" s="49">
        <f>财务计划!AC22</f>
        <v>0</v>
      </c>
      <c r="AD18" s="63"/>
    </row>
    <row r="19" spans="2:30" ht="17.149999999999999" customHeight="1" x14ac:dyDescent="0.35">
      <c r="B19" s="42">
        <v>3.2</v>
      </c>
      <c r="C19" s="47" t="s">
        <v>168</v>
      </c>
      <c r="D19" s="47"/>
      <c r="E19" s="49"/>
      <c r="F19" s="49"/>
      <c r="G19" s="48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63"/>
    </row>
    <row r="20" spans="2:30" ht="17.149999999999999" customHeight="1" x14ac:dyDescent="0.35">
      <c r="B20" s="42"/>
      <c r="C20" s="47" t="s">
        <v>169</v>
      </c>
      <c r="D20" s="48">
        <f>财务计划!D28</f>
        <v>0</v>
      </c>
      <c r="E20" s="49">
        <f>财务计划!E28</f>
        <v>0</v>
      </c>
      <c r="F20" s="49">
        <f>财务计划!F28</f>
        <v>0</v>
      </c>
      <c r="G20" s="49">
        <f>财务计划!G28</f>
        <v>0</v>
      </c>
      <c r="H20" s="49">
        <f>财务计划!H28</f>
        <v>0</v>
      </c>
      <c r="I20" s="49">
        <f>财务计划!I28</f>
        <v>0</v>
      </c>
      <c r="J20" s="49">
        <f>财务计划!J28</f>
        <v>0</v>
      </c>
      <c r="K20" s="49">
        <f>财务计划!K28</f>
        <v>0</v>
      </c>
      <c r="L20" s="49">
        <f>财务计划!L28</f>
        <v>0</v>
      </c>
      <c r="M20" s="49">
        <f>财务计划!M28</f>
        <v>0</v>
      </c>
      <c r="N20" s="49">
        <f>财务计划!N28</f>
        <v>0</v>
      </c>
      <c r="O20" s="49">
        <f>财务计划!O28</f>
        <v>0</v>
      </c>
      <c r="P20" s="49">
        <f>财务计划!P28</f>
        <v>0</v>
      </c>
      <c r="Q20" s="49">
        <f>财务计划!Q28</f>
        <v>0</v>
      </c>
      <c r="R20" s="49">
        <f>财务计划!R28</f>
        <v>0</v>
      </c>
      <c r="S20" s="49">
        <f>财务计划!S28</f>
        <v>0</v>
      </c>
      <c r="T20" s="49">
        <f>财务计划!T28</f>
        <v>430.05942577721817</v>
      </c>
      <c r="U20" s="49">
        <f>财务计划!U28</f>
        <v>0</v>
      </c>
      <c r="V20" s="49">
        <f>财务计划!V28</f>
        <v>0</v>
      </c>
      <c r="W20" s="49">
        <f>财务计划!W28</f>
        <v>0</v>
      </c>
      <c r="X20" s="49">
        <f>财务计划!X28</f>
        <v>0</v>
      </c>
      <c r="Y20" s="49">
        <f>财务计划!Y28</f>
        <v>0</v>
      </c>
      <c r="Z20" s="49">
        <f>财务计划!Z28</f>
        <v>0</v>
      </c>
      <c r="AA20" s="49">
        <f>财务计划!AA28</f>
        <v>0</v>
      </c>
      <c r="AB20" s="49">
        <f>财务计划!AB28</f>
        <v>0</v>
      </c>
      <c r="AC20" s="49">
        <f>财务计划!AC28</f>
        <v>0</v>
      </c>
      <c r="AD20" s="63"/>
    </row>
    <row r="21" spans="2:30" ht="17.149999999999999" customHeight="1" x14ac:dyDescent="0.35">
      <c r="B21" s="42"/>
      <c r="C21" s="47" t="s">
        <v>170</v>
      </c>
      <c r="D21" s="48">
        <f t="shared" ref="D21:Q21" si="9">D20*短期贷款利息</f>
        <v>0</v>
      </c>
      <c r="E21" s="49">
        <f t="shared" si="9"/>
        <v>0</v>
      </c>
      <c r="F21" s="49">
        <f t="shared" si="9"/>
        <v>0</v>
      </c>
      <c r="G21" s="49">
        <f t="shared" si="9"/>
        <v>0</v>
      </c>
      <c r="H21" s="49">
        <f t="shared" si="9"/>
        <v>0</v>
      </c>
      <c r="I21" s="49">
        <f t="shared" si="9"/>
        <v>0</v>
      </c>
      <c r="J21" s="49">
        <f t="shared" si="9"/>
        <v>0</v>
      </c>
      <c r="K21" s="49">
        <f t="shared" si="9"/>
        <v>0</v>
      </c>
      <c r="L21" s="49">
        <f t="shared" si="9"/>
        <v>0</v>
      </c>
      <c r="M21" s="49">
        <f t="shared" si="9"/>
        <v>0</v>
      </c>
      <c r="N21" s="49">
        <f t="shared" si="9"/>
        <v>0</v>
      </c>
      <c r="O21" s="49">
        <f t="shared" si="9"/>
        <v>0</v>
      </c>
      <c r="P21" s="49">
        <f t="shared" si="9"/>
        <v>0</v>
      </c>
      <c r="Q21" s="49">
        <f t="shared" si="9"/>
        <v>0</v>
      </c>
      <c r="R21" s="49">
        <f t="shared" ref="R21:X21" si="10">R20*短期贷款利息</f>
        <v>0</v>
      </c>
      <c r="S21" s="49">
        <f t="shared" si="10"/>
        <v>0</v>
      </c>
      <c r="T21" s="49">
        <f t="shared" si="10"/>
        <v>18.70758502130899</v>
      </c>
      <c r="U21" s="49">
        <f t="shared" si="10"/>
        <v>0</v>
      </c>
      <c r="V21" s="49">
        <f t="shared" si="10"/>
        <v>0</v>
      </c>
      <c r="W21" s="49">
        <f t="shared" si="10"/>
        <v>0</v>
      </c>
      <c r="X21" s="49">
        <f t="shared" si="10"/>
        <v>0</v>
      </c>
      <c r="Y21" s="49">
        <f>Y20*短期贷款利息</f>
        <v>0</v>
      </c>
      <c r="Z21" s="49">
        <f>Z20*短期贷款利息</f>
        <v>0</v>
      </c>
      <c r="AA21" s="49">
        <f>AA20*短期贷款利息</f>
        <v>0</v>
      </c>
      <c r="AB21" s="49">
        <f>AB20*短期贷款利息</f>
        <v>0</v>
      </c>
      <c r="AC21" s="49">
        <f>AC20*短期贷款利息</f>
        <v>0</v>
      </c>
      <c r="AD21" s="63"/>
    </row>
    <row r="22" spans="2:30" ht="17.149999999999999" customHeight="1" x14ac:dyDescent="0.35">
      <c r="B22" s="44">
        <v>4</v>
      </c>
      <c r="C22" s="51" t="s">
        <v>171</v>
      </c>
      <c r="D22" s="51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63"/>
    </row>
    <row r="23" spans="2:30" ht="17.149999999999999" customHeight="1" x14ac:dyDescent="0.35">
      <c r="B23" s="42">
        <v>4.0999999999999996</v>
      </c>
      <c r="C23" s="47" t="s">
        <v>165</v>
      </c>
      <c r="D23" s="47"/>
      <c r="E23" s="49">
        <f t="shared" ref="E23:AC23" si="11">E6+E13+E18</f>
        <v>45829.774964507531</v>
      </c>
      <c r="F23" s="49">
        <f t="shared" si="11"/>
        <v>43670.762372624173</v>
      </c>
      <c r="G23" s="49">
        <f t="shared" si="11"/>
        <v>41411.355695218233</v>
      </c>
      <c r="H23" s="49">
        <f t="shared" si="11"/>
        <v>39046.886607312917</v>
      </c>
      <c r="I23" s="49">
        <f t="shared" si="11"/>
        <v>36572.469706820004</v>
      </c>
      <c r="J23" s="49">
        <f t="shared" si="11"/>
        <v>33982.992420454175</v>
      </c>
      <c r="K23" s="49">
        <f t="shared" si="11"/>
        <v>31273.104440272331</v>
      </c>
      <c r="L23" s="49">
        <f t="shared" si="11"/>
        <v>28437.206669012034</v>
      </c>
      <c r="M23" s="49">
        <f t="shared" si="11"/>
        <v>25469.439651388133</v>
      </c>
      <c r="N23" s="49">
        <f t="shared" si="11"/>
        <v>22363.671467444721</v>
      </c>
      <c r="O23" s="49">
        <f t="shared" si="11"/>
        <v>19113.485062947941</v>
      </c>
      <c r="P23" s="49">
        <f t="shared" si="11"/>
        <v>15712.164990642057</v>
      </c>
      <c r="Q23" s="49">
        <f t="shared" si="11"/>
        <v>12152.683534973952</v>
      </c>
      <c r="R23" s="49">
        <f t="shared" si="11"/>
        <v>8427.6861916172784</v>
      </c>
      <c r="S23" s="49">
        <f t="shared" si="11"/>
        <v>4529.4764717945218</v>
      </c>
      <c r="T23" s="49">
        <f t="shared" si="11"/>
        <v>880.05942577722317</v>
      </c>
      <c r="U23" s="49">
        <f t="shared" si="11"/>
        <v>450.000000000005</v>
      </c>
      <c r="V23" s="49">
        <f t="shared" si="11"/>
        <v>450.000000000005</v>
      </c>
      <c r="W23" s="49">
        <f t="shared" si="11"/>
        <v>450.000000000005</v>
      </c>
      <c r="X23" s="49">
        <f t="shared" si="11"/>
        <v>450.000000000005</v>
      </c>
      <c r="Y23" s="49">
        <f t="shared" si="11"/>
        <v>450.000000000005</v>
      </c>
      <c r="Z23" s="49">
        <f t="shared" si="11"/>
        <v>450.000000000005</v>
      </c>
      <c r="AA23" s="49">
        <f t="shared" si="11"/>
        <v>450.000000000005</v>
      </c>
      <c r="AB23" s="49">
        <f t="shared" si="11"/>
        <v>450.000000000005</v>
      </c>
      <c r="AC23" s="49">
        <f t="shared" si="11"/>
        <v>450.000000000005</v>
      </c>
      <c r="AD23" s="63"/>
    </row>
    <row r="24" spans="2:30" ht="17.149999999999999" customHeight="1" x14ac:dyDescent="0.35">
      <c r="B24" s="42">
        <v>4.2</v>
      </c>
      <c r="C24" s="47" t="s">
        <v>168</v>
      </c>
      <c r="D24" s="47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63"/>
    </row>
    <row r="25" spans="2:30" ht="17.149999999999999" customHeight="1" x14ac:dyDescent="0.35">
      <c r="B25" s="42"/>
      <c r="C25" s="47" t="s">
        <v>169</v>
      </c>
      <c r="D25" s="47"/>
      <c r="E25" s="49">
        <f t="shared" ref="E25:AC25" si="12">E10+E15+E20</f>
        <v>2159.0125918833614</v>
      </c>
      <c r="F25" s="49">
        <f t="shared" si="12"/>
        <v>2259.4066774059374</v>
      </c>
      <c r="G25" s="49">
        <f t="shared" si="12"/>
        <v>2364.4690879053137</v>
      </c>
      <c r="H25" s="49">
        <f t="shared" si="12"/>
        <v>2474.4169004929108</v>
      </c>
      <c r="I25" s="49">
        <f t="shared" si="12"/>
        <v>2589.4772863658313</v>
      </c>
      <c r="J25" s="49">
        <f t="shared" si="12"/>
        <v>2709.8879801818425</v>
      </c>
      <c r="K25" s="49">
        <f t="shared" si="12"/>
        <v>2835.8977712602982</v>
      </c>
      <c r="L25" s="49">
        <f t="shared" si="12"/>
        <v>2967.7670176239021</v>
      </c>
      <c r="M25" s="49">
        <f t="shared" si="12"/>
        <v>3105.7681839434135</v>
      </c>
      <c r="N25" s="49">
        <f t="shared" si="12"/>
        <v>3250.186404496782</v>
      </c>
      <c r="O25" s="49">
        <f t="shared" si="12"/>
        <v>3401.3200723058826</v>
      </c>
      <c r="P25" s="49">
        <f t="shared" si="12"/>
        <v>3559.4814556681058</v>
      </c>
      <c r="Q25" s="49">
        <f t="shared" si="12"/>
        <v>3724.9973433566729</v>
      </c>
      <c r="R25" s="49">
        <f t="shared" si="12"/>
        <v>3898.209719822758</v>
      </c>
      <c r="S25" s="49">
        <f t="shared" si="12"/>
        <v>4079.4764717945163</v>
      </c>
      <c r="T25" s="49">
        <f t="shared" si="12"/>
        <v>430.05942577721817</v>
      </c>
      <c r="U25" s="49">
        <f t="shared" si="12"/>
        <v>0</v>
      </c>
      <c r="V25" s="49">
        <f t="shared" si="12"/>
        <v>0</v>
      </c>
      <c r="W25" s="49">
        <f t="shared" si="12"/>
        <v>0</v>
      </c>
      <c r="X25" s="49">
        <f t="shared" si="12"/>
        <v>0</v>
      </c>
      <c r="Y25" s="49">
        <f t="shared" si="12"/>
        <v>0</v>
      </c>
      <c r="Z25" s="49">
        <f t="shared" si="12"/>
        <v>0</v>
      </c>
      <c r="AA25" s="49">
        <f t="shared" si="12"/>
        <v>0</v>
      </c>
      <c r="AB25" s="49">
        <f t="shared" si="12"/>
        <v>0</v>
      </c>
      <c r="AC25" s="49">
        <f t="shared" si="12"/>
        <v>0</v>
      </c>
      <c r="AD25" s="63"/>
    </row>
    <row r="26" spans="2:30" ht="17.149999999999999" customHeight="1" x14ac:dyDescent="0.35">
      <c r="B26" s="42"/>
      <c r="C26" s="47" t="s">
        <v>170</v>
      </c>
      <c r="D26" s="47"/>
      <c r="E26" s="49">
        <f t="shared" ref="E26:AC26" si="13">E11+E16+E21</f>
        <v>2129.7345358496</v>
      </c>
      <c r="F26" s="49">
        <f t="shared" si="13"/>
        <v>2029.340450327024</v>
      </c>
      <c r="G26" s="49">
        <f t="shared" si="13"/>
        <v>1924.2780398276479</v>
      </c>
      <c r="H26" s="49">
        <f t="shared" si="13"/>
        <v>1814.3302272400506</v>
      </c>
      <c r="I26" s="49">
        <f t="shared" si="13"/>
        <v>1699.2698413671303</v>
      </c>
      <c r="J26" s="49">
        <f t="shared" si="13"/>
        <v>1578.8591475511191</v>
      </c>
      <c r="K26" s="49">
        <f t="shared" si="13"/>
        <v>1452.8493564726634</v>
      </c>
      <c r="L26" s="49">
        <f t="shared" si="13"/>
        <v>1320.9801101090595</v>
      </c>
      <c r="M26" s="49">
        <f t="shared" si="13"/>
        <v>1182.9789437895481</v>
      </c>
      <c r="N26" s="49">
        <f t="shared" si="13"/>
        <v>1038.5607232361795</v>
      </c>
      <c r="O26" s="49">
        <f t="shared" si="13"/>
        <v>887.42705542707927</v>
      </c>
      <c r="P26" s="49">
        <f t="shared" si="13"/>
        <v>729.26567206485572</v>
      </c>
      <c r="Q26" s="49">
        <f t="shared" si="13"/>
        <v>563.74978437628886</v>
      </c>
      <c r="R26" s="49">
        <f t="shared" si="13"/>
        <v>390.53740791020346</v>
      </c>
      <c r="S26" s="49">
        <f t="shared" si="13"/>
        <v>209.27065593844523</v>
      </c>
      <c r="T26" s="49">
        <f t="shared" si="13"/>
        <v>38.282585021309217</v>
      </c>
      <c r="U26" s="49">
        <f t="shared" si="13"/>
        <v>19.57500000000023</v>
      </c>
      <c r="V26" s="49">
        <f t="shared" si="13"/>
        <v>19.57500000000023</v>
      </c>
      <c r="W26" s="49">
        <f t="shared" si="13"/>
        <v>19.57500000000023</v>
      </c>
      <c r="X26" s="49">
        <f t="shared" si="13"/>
        <v>19.57500000000023</v>
      </c>
      <c r="Y26" s="49">
        <f t="shared" si="13"/>
        <v>19.57500000000023</v>
      </c>
      <c r="Z26" s="49">
        <f t="shared" si="13"/>
        <v>19.57500000000023</v>
      </c>
      <c r="AA26" s="49">
        <f t="shared" si="13"/>
        <v>19.57500000000023</v>
      </c>
      <c r="AB26" s="49">
        <f t="shared" si="13"/>
        <v>19.57500000000023</v>
      </c>
      <c r="AC26" s="49">
        <f t="shared" si="13"/>
        <v>19.57500000000023</v>
      </c>
      <c r="AD26" s="63"/>
    </row>
    <row r="27" spans="2:30" ht="17.149999999999999" customHeight="1" x14ac:dyDescent="0.3">
      <c r="B27" s="42"/>
      <c r="C27" s="52" t="s">
        <v>172</v>
      </c>
      <c r="D27" s="52"/>
      <c r="E27" s="53">
        <f>成本!E13+损益!G15</f>
        <v>2425.1797782151548</v>
      </c>
      <c r="F27" s="53">
        <f>成本!F13+损益!H15</f>
        <v>2570.2351665660026</v>
      </c>
      <c r="G27" s="53">
        <f>成本!G13+损益!I15</f>
        <v>2533.1359469507634</v>
      </c>
      <c r="H27" s="53">
        <f>成本!H13+损益!J15</f>
        <v>2401.7757152075274</v>
      </c>
      <c r="I27" s="53">
        <f>成本!I13+损益!K15</f>
        <v>2372.5220205922851</v>
      </c>
      <c r="J27" s="53">
        <f>成本!J13+损益!L15</f>
        <v>2335.0305247270435</v>
      </c>
      <c r="K27" s="53">
        <f>成本!K13+损益!M15</f>
        <v>2305.7768301118003</v>
      </c>
      <c r="L27" s="53">
        <f>成本!L13+损益!N15</f>
        <v>2220.6133041515013</v>
      </c>
      <c r="M27" s="53">
        <f>成本!M13+损益!O15</f>
        <v>2062.4498565540443</v>
      </c>
      <c r="N27" s="53">
        <f>成本!N13+损益!P15</f>
        <v>2033.5922226654707</v>
      </c>
      <c r="O27" s="53">
        <f>成本!O13+损益!Q15</f>
        <v>2004.7345887768956</v>
      </c>
      <c r="P27" s="53">
        <f>成本!P13+损益!R15</f>
        <v>1966.7947790101971</v>
      </c>
      <c r="Q27" s="53">
        <f>成本!Q13+损益!S15</f>
        <v>1937.9371451216216</v>
      </c>
      <c r="R27" s="53">
        <f>成本!R13+损益!T15</f>
        <v>1909.0795112330475</v>
      </c>
      <c r="S27" s="53">
        <f>成本!S13+损益!U15</f>
        <v>1666.4725184164542</v>
      </c>
      <c r="T27" s="53">
        <f>成本!T13+损益!V15</f>
        <v>1637.6148845278792</v>
      </c>
      <c r="U27" s="53">
        <f>成本!U13+损益!W15</f>
        <v>1608.7572506393058</v>
      </c>
      <c r="V27" s="53">
        <f>成本!V13+损益!X15</f>
        <v>1569.8865178450992</v>
      </c>
      <c r="W27" s="53">
        <f>成本!W13+损益!Y15</f>
        <v>1541.0288839565237</v>
      </c>
      <c r="X27" s="53">
        <f>成本!X13+损益!Z15</f>
        <v>1512.1712500679491</v>
      </c>
      <c r="Y27" s="53">
        <f>成本!Y13+损益!AA15</f>
        <v>3896.617603989926</v>
      </c>
      <c r="Z27" s="53">
        <f>成本!Z13+损益!AB15</f>
        <v>3866.5474549729574</v>
      </c>
      <c r="AA27" s="53">
        <f>成本!AA13+损益!AC15</f>
        <v>3836.477305955988</v>
      </c>
      <c r="AB27" s="53">
        <f>成本!AB13+损益!AD15</f>
        <v>3795.3677153955573</v>
      </c>
      <c r="AC27" s="53">
        <f>成本!AC13+损益!AE15</f>
        <v>3765.2975663785887</v>
      </c>
      <c r="AD27" s="63"/>
    </row>
    <row r="28" spans="2:30" ht="17.149999999999999" customHeight="1" x14ac:dyDescent="0.3">
      <c r="B28" s="42"/>
      <c r="C28" s="52" t="s">
        <v>173</v>
      </c>
      <c r="D28" s="52"/>
      <c r="E28" s="53">
        <f>E27+成本!F51</f>
        <v>3159.0753177616152</v>
      </c>
      <c r="F28" s="53">
        <f>F27+成本!G51</f>
        <v>3338.5929763005161</v>
      </c>
      <c r="G28" s="53">
        <f>G27+成本!H51</f>
        <v>3297.5331494186039</v>
      </c>
      <c r="H28" s="53">
        <f>H27+成本!I51</f>
        <v>3162.2123104086954</v>
      </c>
      <c r="I28" s="53">
        <f>I27+成本!J51</f>
        <v>3128.9980085267803</v>
      </c>
      <c r="J28" s="53">
        <f>J27+成本!K51</f>
        <v>3087.5459053948662</v>
      </c>
      <c r="K28" s="53">
        <f>K27+成本!L51</f>
        <v>3054.3316035129501</v>
      </c>
      <c r="L28" s="53">
        <f>L27+成本!M51</f>
        <v>2406.1091568353963</v>
      </c>
      <c r="M28" s="53">
        <f>M27+成本!N51</f>
        <v>2062.4498565540443</v>
      </c>
      <c r="N28" s="53">
        <f>N27+成本!O51</f>
        <v>2033.5922226654707</v>
      </c>
      <c r="O28" s="53">
        <f>O27+成本!P51</f>
        <v>2004.7345887768956</v>
      </c>
      <c r="P28" s="53">
        <f>P27+成本!Q51</f>
        <v>1966.7947790101971</v>
      </c>
      <c r="Q28" s="53">
        <f>Q27+成本!R51</f>
        <v>1937.9371451216216</v>
      </c>
      <c r="R28" s="53">
        <f>R27+成本!S51</f>
        <v>1909.0795112330475</v>
      </c>
      <c r="S28" s="53">
        <f>S27+成本!T51</f>
        <v>1666.4725184164542</v>
      </c>
      <c r="T28" s="53">
        <f>T27+成本!U51</f>
        <v>1637.6148845278792</v>
      </c>
      <c r="U28" s="53">
        <f>U27+成本!V51</f>
        <v>1608.7572506393058</v>
      </c>
      <c r="V28" s="53">
        <f>V27+成本!W51</f>
        <v>1569.8865178450992</v>
      </c>
      <c r="W28" s="53">
        <f>W27+成本!X51</f>
        <v>1541.0288839565237</v>
      </c>
      <c r="X28" s="53">
        <f>X27+成本!Y51</f>
        <v>1512.1712500679491</v>
      </c>
      <c r="Y28" s="53">
        <f>Y27+成本!Z51</f>
        <v>3896.617603989926</v>
      </c>
      <c r="Z28" s="53">
        <f>Z27+成本!AA51</f>
        <v>3866.5474549729574</v>
      </c>
      <c r="AA28" s="53">
        <f>AA27+成本!AB51</f>
        <v>3836.477305955988</v>
      </c>
      <c r="AB28" s="53">
        <f>AB27+成本!AC51</f>
        <v>3795.3677153955573</v>
      </c>
      <c r="AC28" s="53">
        <f>AC27+成本!AD51</f>
        <v>3765.2975663785887</v>
      </c>
      <c r="AD28" s="63"/>
    </row>
    <row r="29" spans="2:30" ht="17.149999999999999" customHeight="1" x14ac:dyDescent="0.3">
      <c r="B29" s="42"/>
      <c r="C29" s="54" t="s">
        <v>174</v>
      </c>
      <c r="D29" s="54"/>
      <c r="E29" s="55">
        <f>E28/成本!E13</f>
        <v>1.4833188195924087</v>
      </c>
      <c r="F29" s="55">
        <f>F28/成本!F13</f>
        <v>1.6451615970905762</v>
      </c>
      <c r="G29" s="55">
        <f>G28/成本!G13</f>
        <v>1.7136469268827463</v>
      </c>
      <c r="H29" s="55">
        <f>H28/成本!H13</f>
        <v>1.7429089054086013</v>
      </c>
      <c r="I29" s="55">
        <f>I28/成本!I13</f>
        <v>1.8413779450174768</v>
      </c>
      <c r="J29" s="55">
        <f>J28/成本!J13</f>
        <v>1.9555550032336877</v>
      </c>
      <c r="K29" s="55">
        <f>K28/成本!K13</f>
        <v>2.1023044061006333</v>
      </c>
      <c r="L29" s="55">
        <f>L28/成本!L13</f>
        <v>1.8214575211406847</v>
      </c>
      <c r="M29" s="55">
        <f>M28/成本!M13</f>
        <v>1.7434375035849785</v>
      </c>
      <c r="N29" s="55">
        <f>N28/成本!N13</f>
        <v>1.9580869728336634</v>
      </c>
      <c r="O29" s="55">
        <f>O28/成本!O13</f>
        <v>2.2590415477158357</v>
      </c>
      <c r="P29" s="55">
        <f>P28/成本!P13</f>
        <v>2.6969523650295777</v>
      </c>
      <c r="Q29" s="55">
        <f>Q28/成本!Q13</f>
        <v>3.4375838338735347</v>
      </c>
      <c r="R29" s="55">
        <f>R28/成本!R13</f>
        <v>4.88833968927249</v>
      </c>
      <c r="S29" s="55">
        <f>S28/成本!S13</f>
        <v>7.9632402877670039</v>
      </c>
      <c r="T29" s="55">
        <f>T28/成本!T13</f>
        <v>42.7770194624092</v>
      </c>
      <c r="U29" s="55">
        <f>U28/成本!U13</f>
        <v>82.184278449005717</v>
      </c>
      <c r="V29" s="55">
        <f>V28/成本!V13</f>
        <v>80.198544972928772</v>
      </c>
      <c r="W29" s="55">
        <f>W28/成本!W13</f>
        <v>78.724336345159927</v>
      </c>
      <c r="X29" s="55">
        <f>X28/成本!X13</f>
        <v>77.250127717391123</v>
      </c>
      <c r="Y29" s="55"/>
      <c r="Z29" s="62"/>
      <c r="AA29" s="62"/>
      <c r="AB29" s="62"/>
      <c r="AC29" s="62"/>
      <c r="AD29" s="65">
        <f>AVERAGE(F29:AC29)</f>
        <v>20.994915865886647</v>
      </c>
    </row>
    <row r="30" spans="2:30" ht="17.149999999999999" customHeight="1" x14ac:dyDescent="0.3">
      <c r="B30" s="42"/>
      <c r="C30" s="56" t="s">
        <v>175</v>
      </c>
      <c r="D30" s="56"/>
      <c r="E30" s="53">
        <f>E27+成本!E6</f>
        <v>4728.9585221655225</v>
      </c>
      <c r="F30" s="53">
        <f>F27+成本!F6</f>
        <v>4995.2654233558633</v>
      </c>
      <c r="G30" s="53">
        <f>G27+成本!G6</f>
        <v>4958.166203740624</v>
      </c>
      <c r="H30" s="53">
        <f>H27+成本!H6</f>
        <v>4826.805971997388</v>
      </c>
      <c r="I30" s="53">
        <f>I27+成本!I6</f>
        <v>4797.5522773821458</v>
      </c>
      <c r="J30" s="53">
        <f>J27+成本!J6</f>
        <v>4760.0607815169042</v>
      </c>
      <c r="K30" s="53">
        <f>K27+成本!K6</f>
        <v>4730.807086901661</v>
      </c>
      <c r="L30" s="53">
        <f>L27+成本!L6</f>
        <v>4645.643560941362</v>
      </c>
      <c r="M30" s="53">
        <f>M27+成本!M6</f>
        <v>4487.480113343905</v>
      </c>
      <c r="N30" s="53">
        <f>N27+成本!N6</f>
        <v>4458.6224794553309</v>
      </c>
      <c r="O30" s="53">
        <f>O27+成本!O6</f>
        <v>4429.7648455667568</v>
      </c>
      <c r="P30" s="53">
        <f>P27+成本!P6</f>
        <v>4391.8250358000578</v>
      </c>
      <c r="Q30" s="53">
        <f>Q27+成本!Q6</f>
        <v>4362.9674019114827</v>
      </c>
      <c r="R30" s="53">
        <f>R27+成本!R6</f>
        <v>4334.1097680229086</v>
      </c>
      <c r="S30" s="53">
        <f>S27+成本!S6</f>
        <v>4091.5027752063152</v>
      </c>
      <c r="T30" s="53">
        <f>T27+成本!T6</f>
        <v>4062.6451413177401</v>
      </c>
      <c r="U30" s="53">
        <f>U27+成本!U6</f>
        <v>4033.7875074291665</v>
      </c>
      <c r="V30" s="53">
        <f>V27+成本!V6</f>
        <v>3994.9167746349599</v>
      </c>
      <c r="W30" s="53">
        <f>W27+成本!W6</f>
        <v>3966.0591407463844</v>
      </c>
      <c r="X30" s="53">
        <f>X27+成本!X6</f>
        <v>3937.2015068578098</v>
      </c>
      <c r="Y30" s="53">
        <f>Y27+成本!Y6</f>
        <v>3896.617603989926</v>
      </c>
      <c r="Z30" s="53">
        <f>Z27+成本!Z6</f>
        <v>3866.5474549729574</v>
      </c>
      <c r="AA30" s="53">
        <f>AA27+成本!AA6</f>
        <v>3836.477305955988</v>
      </c>
      <c r="AB30" s="53">
        <f>AB27+成本!AB6</f>
        <v>3795.3677153955573</v>
      </c>
      <c r="AC30" s="53">
        <f>AC27+成本!AC6</f>
        <v>3765.2975663785887</v>
      </c>
      <c r="AD30" s="63"/>
    </row>
    <row r="31" spans="2:30" ht="17.149999999999999" customHeight="1" x14ac:dyDescent="0.3">
      <c r="B31" s="42"/>
      <c r="C31" s="56" t="s">
        <v>176</v>
      </c>
      <c r="D31" s="56"/>
      <c r="E31" s="53">
        <f>E30+成本!F51-损益!G21</f>
        <v>5462.8540617119825</v>
      </c>
      <c r="F31" s="53">
        <f>F30+成本!G51-损益!H21</f>
        <v>5763.6232330903767</v>
      </c>
      <c r="G31" s="53">
        <f>G30+成本!H51-损益!I21</f>
        <v>5722.5634062084646</v>
      </c>
      <c r="H31" s="53">
        <f>H30+成本!I51-损益!J21</f>
        <v>5513.8118812026214</v>
      </c>
      <c r="I31" s="53">
        <f>I30+成本!J51-损益!K21</f>
        <v>5469.8717429134967</v>
      </c>
      <c r="J31" s="53">
        <f>J30+成本!K51-损益!L21</f>
        <v>5418.0547400377363</v>
      </c>
      <c r="K31" s="53">
        <f>K30+成本!L51-损益!M21</f>
        <v>5266.1299918930263</v>
      </c>
      <c r="L31" s="53">
        <f>L30+成本!M51-损益!N21</f>
        <v>4606.2311151146459</v>
      </c>
      <c r="M31" s="53">
        <f>M30+成本!N51-损益!O21</f>
        <v>4267.6123851527809</v>
      </c>
      <c r="N31" s="53">
        <f>N30+成本!O51-损益!P21</f>
        <v>4209.8646045980076</v>
      </c>
      <c r="O31" s="53">
        <f>O30+成本!P51-损益!Q21</f>
        <v>4150.4379622293027</v>
      </c>
      <c r="P31" s="53">
        <f>P30+成本!Q51-损益!R21</f>
        <v>4082.4427590637224</v>
      </c>
      <c r="Q31" s="53">
        <f>Q30+成本!R51-损益!S21</f>
        <v>4019.4205617251496</v>
      </c>
      <c r="R31" s="53">
        <f>R30+成本!S51-损益!T21</f>
        <v>3954.4742421921974</v>
      </c>
      <c r="S31" s="53">
        <f>S30+成本!T51-损益!U21</f>
        <v>3727.202309586813</v>
      </c>
      <c r="T31" s="53">
        <f>T30+成本!U51-损益!V21</f>
        <v>3662.8120664410976</v>
      </c>
      <c r="U31" s="53">
        <f>U30+成本!V51-损益!W21</f>
        <v>3636.4919447693401</v>
      </c>
      <c r="V31" s="53">
        <f>V30+成本!W51-损益!X21</f>
        <v>3607.3388951736852</v>
      </c>
      <c r="W31" s="53">
        <f>W30+成本!X51-损益!Y21</f>
        <v>3585.6956697572537</v>
      </c>
      <c r="X31" s="53">
        <f>X30+成本!Y51-损益!Z21</f>
        <v>3564.0524443408226</v>
      </c>
      <c r="Y31" s="53">
        <f>Y30+成本!Z51-损益!AA21</f>
        <v>2927.3569529924443</v>
      </c>
      <c r="Z31" s="53">
        <f>Z30+成本!AA51-损益!AB21</f>
        <v>2904.8043412297184</v>
      </c>
      <c r="AA31" s="53">
        <f>AA30+成本!AB51-损益!AC21</f>
        <v>2882.251729466991</v>
      </c>
      <c r="AB31" s="53">
        <f>AB30+成本!AC51-损益!AD21</f>
        <v>2851.419536546668</v>
      </c>
      <c r="AC31" s="53">
        <f>AC30+成本!AD51-损益!AE21</f>
        <v>2828.8669247839416</v>
      </c>
      <c r="AD31" s="63"/>
    </row>
    <row r="32" spans="2:30" ht="17.149999999999999" customHeight="1" x14ac:dyDescent="0.3">
      <c r="B32" s="57"/>
      <c r="C32" s="54" t="s">
        <v>177</v>
      </c>
      <c r="D32" s="54"/>
      <c r="E32" s="55">
        <f>E31/(E11+E10)</f>
        <v>1.2796050143363267</v>
      </c>
      <c r="F32" s="55">
        <f t="shared" ref="F32:S32" si="14">F31/(F11+F10)</f>
        <v>1.3500564185850727</v>
      </c>
      <c r="G32" s="55">
        <f t="shared" si="14"/>
        <v>1.3404386693696726</v>
      </c>
      <c r="H32" s="55">
        <f t="shared" si="14"/>
        <v>1.291541244117181</v>
      </c>
      <c r="I32" s="55">
        <f t="shared" si="14"/>
        <v>1.2812488180976993</v>
      </c>
      <c r="J32" s="55">
        <f t="shared" si="14"/>
        <v>1.2691113353901851</v>
      </c>
      <c r="K32" s="55">
        <f t="shared" si="14"/>
        <v>1.2335248695370535</v>
      </c>
      <c r="L32" s="55">
        <f t="shared" si="14"/>
        <v>1.0789518382714334</v>
      </c>
      <c r="M32" s="55">
        <f t="shared" si="14"/>
        <v>0.99963464987273565</v>
      </c>
      <c r="N32" s="55">
        <f t="shared" si="14"/>
        <v>0.98610795691518582</v>
      </c>
      <c r="O32" s="55">
        <f t="shared" si="14"/>
        <v>0.97218801164461133</v>
      </c>
      <c r="P32" s="55">
        <f t="shared" si="14"/>
        <v>0.95626098852837838</v>
      </c>
      <c r="Q32" s="55">
        <f t="shared" si="14"/>
        <v>0.94149882962427278</v>
      </c>
      <c r="R32" s="55">
        <f t="shared" si="14"/>
        <v>0.92628596924062723</v>
      </c>
      <c r="S32" s="55">
        <f t="shared" si="14"/>
        <v>0.87305037090787241</v>
      </c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65">
        <f>AVERAGE(F32:AC32)</f>
        <v>1.1071357121501415</v>
      </c>
    </row>
    <row r="33" spans="2:30" ht="17.149999999999999" customHeight="1" thickBot="1" x14ac:dyDescent="0.4">
      <c r="B33" s="58"/>
      <c r="C33" s="59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6"/>
    </row>
    <row r="35" spans="2:30" x14ac:dyDescent="0.3">
      <c r="E35" s="13">
        <f>-PMT(参数表!C31,参数表!C32,投资计划!C15)</f>
        <v>4269.1721277329616</v>
      </c>
    </row>
    <row r="36" spans="2:30" ht="15" x14ac:dyDescent="0.3">
      <c r="E36" s="163">
        <f>$E$35-还贷!E11</f>
        <v>2159.0125918833614</v>
      </c>
      <c r="F36" s="163">
        <f>$E$35-还贷!F11</f>
        <v>2259.4066774059374</v>
      </c>
      <c r="G36" s="163">
        <f>$E$35-还贷!G11</f>
        <v>2364.4690879053137</v>
      </c>
      <c r="H36" s="163">
        <f>$E$35-还贷!H11</f>
        <v>2474.4169004929108</v>
      </c>
      <c r="I36" s="163">
        <f>$E$35-还贷!I11</f>
        <v>2589.4772863658313</v>
      </c>
      <c r="J36" s="163">
        <f>$E$35-还贷!J11</f>
        <v>2709.8879801818425</v>
      </c>
      <c r="K36" s="163">
        <f>$E$35-还贷!K11</f>
        <v>2835.8977712602982</v>
      </c>
      <c r="L36" s="163">
        <f>$E$35-还贷!L11</f>
        <v>2967.7670176239021</v>
      </c>
      <c r="M36" s="163">
        <f>$E$35-还贷!M11</f>
        <v>3105.7681839434135</v>
      </c>
      <c r="N36" s="163">
        <f>$E$35-还贷!N11</f>
        <v>3250.186404496782</v>
      </c>
      <c r="O36" s="163">
        <f>$E$35-还贷!O11</f>
        <v>3401.3200723058826</v>
      </c>
      <c r="P36" s="163">
        <f>$E$35-还贷!P11</f>
        <v>3559.4814556681058</v>
      </c>
      <c r="Q36" s="163">
        <f>$E$35-还贷!Q11</f>
        <v>3724.9973433566729</v>
      </c>
      <c r="R36" s="163">
        <f>$E$35-还贷!R11</f>
        <v>3898.209719822758</v>
      </c>
      <c r="S36" s="163">
        <f>$E$35-还贷!S11</f>
        <v>4079.4764717945163</v>
      </c>
    </row>
    <row r="37" spans="2:30" ht="15" x14ac:dyDescent="0.3">
      <c r="T37" s="163"/>
    </row>
  </sheetData>
  <mergeCells count="5">
    <mergeCell ref="B1:AD1"/>
    <mergeCell ref="H3:AC3"/>
    <mergeCell ref="B3:B4"/>
    <mergeCell ref="C3:C4"/>
    <mergeCell ref="AD3:AD4"/>
  </mergeCells>
  <phoneticPr fontId="61" type="noConversion"/>
  <pageMargins left="0.17986111111111111" right="0.4" top="0.61944444444444446" bottom="0.55000000000000004" header="0.5" footer="0.20972222222222223"/>
  <pageSetup paperSize="9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AC9C-0E3E-4035-8B2D-FE9D6182E252}">
  <dimension ref="A1:AD42"/>
  <sheetViews>
    <sheetView zoomScale="115" workbookViewId="0">
      <pane xSplit="3" ySplit="4" topLeftCell="D5" activePane="bottomRight" state="frozen"/>
      <selection pane="topRight"/>
      <selection pane="bottomLeft"/>
      <selection pane="bottomRight" activeCell="H7" sqref="H7"/>
    </sheetView>
  </sheetViews>
  <sheetFormatPr defaultColWidth="9" defaultRowHeight="15" x14ac:dyDescent="0.3"/>
  <cols>
    <col min="1" max="1" width="6" style="3" customWidth="1"/>
    <col min="2" max="2" width="18.85546875" style="3" customWidth="1"/>
    <col min="3" max="3" width="5.85546875" style="3" customWidth="1"/>
    <col min="4" max="4" width="7.7109375" style="3" customWidth="1"/>
    <col min="5" max="5" width="11" style="3" bestFit="1" customWidth="1"/>
    <col min="6" max="19" width="9.5" style="3" bestFit="1" customWidth="1"/>
    <col min="20" max="20" width="9.7109375" style="3" bestFit="1" customWidth="1"/>
    <col min="21" max="24" width="9.5" style="3" bestFit="1" customWidth="1"/>
    <col min="25" max="29" width="9.0703125" style="3" customWidth="1"/>
    <col min="30" max="30" width="11.0703125" style="3" customWidth="1"/>
    <col min="31" max="16384" width="9" style="3"/>
  </cols>
  <sheetData>
    <row r="1" spans="1:30" ht="19.5" customHeight="1" x14ac:dyDescent="0.3">
      <c r="A1" s="565" t="s">
        <v>178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</row>
    <row r="2" spans="1:30" ht="15.45" thickBot="1" x14ac:dyDescent="0.35">
      <c r="A2" s="4" t="s">
        <v>179</v>
      </c>
      <c r="T2" s="24" t="s">
        <v>180</v>
      </c>
    </row>
    <row r="3" spans="1:30" s="1" customFormat="1" ht="15" customHeight="1" x14ac:dyDescent="0.3">
      <c r="A3" s="568" t="s">
        <v>181</v>
      </c>
      <c r="B3" s="570" t="s">
        <v>182</v>
      </c>
      <c r="C3" s="570" t="s">
        <v>183</v>
      </c>
      <c r="D3" s="250"/>
      <c r="E3" s="566" t="s">
        <v>184</v>
      </c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7"/>
      <c r="Q3" s="567"/>
      <c r="R3" s="567"/>
      <c r="S3" s="567"/>
      <c r="T3" s="567"/>
      <c r="U3" s="567"/>
      <c r="V3" s="567"/>
      <c r="W3" s="567"/>
      <c r="X3" s="567"/>
      <c r="Y3" s="567"/>
      <c r="Z3" s="567"/>
      <c r="AA3" s="567"/>
      <c r="AB3" s="567"/>
      <c r="AC3" s="567"/>
      <c r="AD3" s="27"/>
    </row>
    <row r="4" spans="1:30" s="1" customFormat="1" ht="15" customHeight="1" x14ac:dyDescent="0.3">
      <c r="A4" s="569"/>
      <c r="B4" s="571"/>
      <c r="C4" s="571"/>
      <c r="D4" s="5">
        <f>成本!D4</f>
        <v>1</v>
      </c>
      <c r="E4" s="5">
        <f>成本!E4</f>
        <v>1</v>
      </c>
      <c r="F4" s="5">
        <f>成本!F4</f>
        <v>2</v>
      </c>
      <c r="G4" s="5">
        <f>成本!G4</f>
        <v>3</v>
      </c>
      <c r="H4" s="5">
        <f>成本!H4</f>
        <v>4</v>
      </c>
      <c r="I4" s="5">
        <f>成本!I4</f>
        <v>5</v>
      </c>
      <c r="J4" s="5">
        <f>成本!J4</f>
        <v>6</v>
      </c>
      <c r="K4" s="5">
        <f>成本!K4</f>
        <v>7</v>
      </c>
      <c r="L4" s="5">
        <f>成本!L4</f>
        <v>8</v>
      </c>
      <c r="M4" s="5">
        <f>成本!M4</f>
        <v>9</v>
      </c>
      <c r="N4" s="5">
        <f>成本!N4</f>
        <v>10</v>
      </c>
      <c r="O4" s="5">
        <f>成本!O4</f>
        <v>11</v>
      </c>
      <c r="P4" s="5">
        <f>成本!P4</f>
        <v>12</v>
      </c>
      <c r="Q4" s="5">
        <f>成本!Q4</f>
        <v>13</v>
      </c>
      <c r="R4" s="5">
        <f>成本!R4</f>
        <v>14</v>
      </c>
      <c r="S4" s="5">
        <f>成本!S4</f>
        <v>15</v>
      </c>
      <c r="T4" s="5">
        <f>成本!T4</f>
        <v>16</v>
      </c>
      <c r="U4" s="5">
        <f>成本!U4</f>
        <v>17</v>
      </c>
      <c r="V4" s="5">
        <f>成本!V4</f>
        <v>18</v>
      </c>
      <c r="W4" s="5">
        <f>成本!W4</f>
        <v>19</v>
      </c>
      <c r="X4" s="5">
        <f>成本!X4</f>
        <v>20</v>
      </c>
      <c r="Y4" s="5">
        <f>成本!Y4</f>
        <v>21</v>
      </c>
      <c r="Z4" s="5">
        <f>成本!Z4</f>
        <v>22</v>
      </c>
      <c r="AA4" s="5">
        <f>成本!AA4</f>
        <v>23</v>
      </c>
      <c r="AB4" s="5">
        <f>成本!AB4</f>
        <v>24</v>
      </c>
      <c r="AC4" s="5">
        <f>成本!AC4</f>
        <v>25</v>
      </c>
      <c r="AD4" s="28"/>
    </row>
    <row r="5" spans="1:30" s="2" customFormat="1" ht="18" customHeight="1" x14ac:dyDescent="0.3">
      <c r="A5" s="6">
        <v>1</v>
      </c>
      <c r="B5" s="7" t="s">
        <v>185</v>
      </c>
      <c r="C5" s="8"/>
      <c r="D5" s="9">
        <f t="shared" ref="D5:AC5" si="0">D6-D11</f>
        <v>0</v>
      </c>
      <c r="E5" s="9">
        <f t="shared" si="0"/>
        <v>5619.7645617119824</v>
      </c>
      <c r="F5" s="9">
        <f t="shared" si="0"/>
        <v>5598.8672080903771</v>
      </c>
      <c r="G5" s="9">
        <f t="shared" si="0"/>
        <v>5887.3194312084643</v>
      </c>
      <c r="H5" s="9">
        <f t="shared" si="0"/>
        <v>5349.0558562026208</v>
      </c>
      <c r="I5" s="9">
        <f t="shared" si="0"/>
        <v>5634.6277679134964</v>
      </c>
      <c r="J5" s="9">
        <f t="shared" si="0"/>
        <v>5245.0609137877364</v>
      </c>
      <c r="K5" s="9">
        <f t="shared" si="0"/>
        <v>5439.1238181430272</v>
      </c>
      <c r="L5" s="9">
        <f t="shared" si="0"/>
        <v>4424.5875975521476</v>
      </c>
      <c r="M5" s="9">
        <f t="shared" si="0"/>
        <v>4449.2559027152811</v>
      </c>
      <c r="N5" s="9">
        <f t="shared" si="0"/>
        <v>4028.2210870355075</v>
      </c>
      <c r="O5" s="9">
        <f t="shared" si="0"/>
        <v>4332.0814797918028</v>
      </c>
      <c r="P5" s="9">
        <f t="shared" si="0"/>
        <v>3891.7170656230974</v>
      </c>
      <c r="Q5" s="9">
        <f t="shared" si="0"/>
        <v>4210.1462551657751</v>
      </c>
      <c r="R5" s="9">
        <f t="shared" si="0"/>
        <v>3754.2122640795405</v>
      </c>
      <c r="S5" s="9">
        <f t="shared" si="0"/>
        <v>3927.4642876994685</v>
      </c>
      <c r="T5" s="9">
        <f t="shared" si="0"/>
        <v>3462.5500883284421</v>
      </c>
      <c r="U5" s="9">
        <f t="shared" si="0"/>
        <v>3836.7539228819969</v>
      </c>
      <c r="V5" s="9">
        <f t="shared" si="0"/>
        <v>3397.0638181553959</v>
      </c>
      <c r="W5" s="9">
        <f t="shared" si="0"/>
        <v>3795.9707467755425</v>
      </c>
      <c r="X5" s="9">
        <f t="shared" si="0"/>
        <v>3343.2636134716186</v>
      </c>
      <c r="Y5" s="9">
        <f t="shared" si="0"/>
        <v>3148.1457838616484</v>
      </c>
      <c r="Z5" s="9">
        <f t="shared" si="0"/>
        <v>2684.0155103605148</v>
      </c>
      <c r="AA5" s="9">
        <f t="shared" si="0"/>
        <v>3103.0405603361946</v>
      </c>
      <c r="AB5" s="9">
        <f t="shared" si="0"/>
        <v>2619.5912641340046</v>
      </c>
      <c r="AC5" s="9">
        <f t="shared" si="0"/>
        <v>3060.695197196605</v>
      </c>
      <c r="AD5" s="29"/>
    </row>
    <row r="6" spans="1:30" s="2" customFormat="1" ht="18" customHeight="1" x14ac:dyDescent="0.3">
      <c r="A6" s="6">
        <v>1.1000000000000001</v>
      </c>
      <c r="B6" s="7" t="s">
        <v>186</v>
      </c>
      <c r="C6" s="8"/>
      <c r="D6" s="9">
        <f>D7+D8+D9</f>
        <v>0</v>
      </c>
      <c r="E6" s="9">
        <f t="shared" ref="E6:AC6" si="1">E7+E8+E9-E10</f>
        <v>6379.2458437499999</v>
      </c>
      <c r="F6" s="9">
        <f t="shared" si="1"/>
        <v>6678.8024999999998</v>
      </c>
      <c r="G6" s="9">
        <f t="shared" si="1"/>
        <v>6644.375682989692</v>
      </c>
      <c r="H6" s="9">
        <f t="shared" si="1"/>
        <v>6609.9488659793824</v>
      </c>
      <c r="I6" s="9">
        <f t="shared" si="1"/>
        <v>6575.5220489690728</v>
      </c>
      <c r="J6" s="9">
        <f t="shared" si="1"/>
        <v>6541.0952319587641</v>
      </c>
      <c r="K6" s="9">
        <f t="shared" si="1"/>
        <v>6506.6684149484536</v>
      </c>
      <c r="L6" s="9">
        <f t="shared" si="1"/>
        <v>6472.2415979381449</v>
      </c>
      <c r="M6" s="9">
        <f t="shared" si="1"/>
        <v>6437.8147809278362</v>
      </c>
      <c r="N6" s="9">
        <f t="shared" si="1"/>
        <v>6403.3879639175266</v>
      </c>
      <c r="O6" s="9">
        <f t="shared" si="1"/>
        <v>6368.9611469072179</v>
      </c>
      <c r="P6" s="9">
        <f t="shared" si="1"/>
        <v>6334.5343298969092</v>
      </c>
      <c r="Q6" s="9">
        <f t="shared" si="1"/>
        <v>6300.1075128865987</v>
      </c>
      <c r="R6" s="9">
        <f t="shared" si="1"/>
        <v>6265.6806958762891</v>
      </c>
      <c r="S6" s="9">
        <f t="shared" si="1"/>
        <v>6231.2538788659804</v>
      </c>
      <c r="T6" s="9">
        <f t="shared" si="1"/>
        <v>6196.8270618556717</v>
      </c>
      <c r="U6" s="9">
        <f t="shared" si="1"/>
        <v>6162.400244845363</v>
      </c>
      <c r="V6" s="9">
        <f t="shared" si="1"/>
        <v>6127.9734278350534</v>
      </c>
      <c r="W6" s="9">
        <f t="shared" si="1"/>
        <v>6093.5466108247429</v>
      </c>
      <c r="X6" s="9">
        <f t="shared" si="1"/>
        <v>6059.1197938144333</v>
      </c>
      <c r="Y6" s="9">
        <f t="shared" si="1"/>
        <v>6024.6929768041246</v>
      </c>
      <c r="Z6" s="9">
        <f t="shared" si="1"/>
        <v>5990.2661597938159</v>
      </c>
      <c r="AA6" s="9">
        <f t="shared" si="1"/>
        <v>5955.8393427835063</v>
      </c>
      <c r="AB6" s="9">
        <f t="shared" si="1"/>
        <v>5921.4125257731957</v>
      </c>
      <c r="AC6" s="9">
        <f t="shared" si="1"/>
        <v>5886.985708762887</v>
      </c>
      <c r="AD6" s="29"/>
    </row>
    <row r="7" spans="1:30" ht="18" customHeight="1" x14ac:dyDescent="0.3">
      <c r="A7" s="10" t="s">
        <v>145</v>
      </c>
      <c r="B7" s="11" t="s">
        <v>187</v>
      </c>
      <c r="C7" s="12"/>
      <c r="D7" s="12"/>
      <c r="E7" s="13">
        <f>损益!G8+损益!G12</f>
        <v>5645.35030420354</v>
      </c>
      <c r="F7" s="13">
        <f>损益!H8+损益!H12</f>
        <v>5910.4446902654863</v>
      </c>
      <c r="G7" s="13">
        <f>损益!I8+损益!I12</f>
        <v>5879.9784805218515</v>
      </c>
      <c r="H7" s="13">
        <f>损益!J8+损益!J12</f>
        <v>5849.5122707782148</v>
      </c>
      <c r="I7" s="13">
        <f>损益!K8+损益!K12</f>
        <v>5819.0460610345781</v>
      </c>
      <c r="J7" s="13">
        <f>损益!L8+损益!L12</f>
        <v>5788.5798512909414</v>
      </c>
      <c r="K7" s="13">
        <f>损益!M8+损益!M12</f>
        <v>5758.1136415473038</v>
      </c>
      <c r="L7" s="13">
        <f>损益!N8+损益!N12</f>
        <v>5727.647431803668</v>
      </c>
      <c r="M7" s="13">
        <f>损益!O8+损益!O12</f>
        <v>5697.1812220600323</v>
      </c>
      <c r="N7" s="13">
        <f>损益!P8+损益!P12</f>
        <v>5666.7150123163956</v>
      </c>
      <c r="O7" s="13">
        <f>损益!Q8+损益!Q12</f>
        <v>5636.2488025727589</v>
      </c>
      <c r="P7" s="13">
        <f>损益!R8+损益!R12</f>
        <v>5605.7825928291231</v>
      </c>
      <c r="Q7" s="13">
        <f>损益!S8+损益!S12</f>
        <v>5575.3163830854855</v>
      </c>
      <c r="R7" s="13">
        <f>损益!T8+损益!T12</f>
        <v>5544.8501733418489</v>
      </c>
      <c r="S7" s="13">
        <f>损益!U8+损益!U12</f>
        <v>5514.3839635982131</v>
      </c>
      <c r="T7" s="13">
        <f>损益!V8+损益!V12</f>
        <v>5483.9177538545764</v>
      </c>
      <c r="U7" s="13">
        <f>损益!W8+损益!W12</f>
        <v>5453.4515441109406</v>
      </c>
      <c r="V7" s="13">
        <f>损益!X8+损益!X12</f>
        <v>5422.9853343673039</v>
      </c>
      <c r="W7" s="13">
        <f>损益!Y8+损益!Y12</f>
        <v>5392.5191246236664</v>
      </c>
      <c r="X7" s="13">
        <f>损益!Z8+损益!Z12</f>
        <v>5362.0529148800297</v>
      </c>
      <c r="Y7" s="13">
        <f>损益!AA8+损益!AA12</f>
        <v>5331.586705136393</v>
      </c>
      <c r="Z7" s="13">
        <f>损益!AB8+损益!AB12</f>
        <v>5301.1204953927572</v>
      </c>
      <c r="AA7" s="13">
        <f>损益!AC8+损益!AC12</f>
        <v>5270.6542856491205</v>
      </c>
      <c r="AB7" s="13">
        <f>损益!AD8+损益!AD12</f>
        <v>5240.1880759054829</v>
      </c>
      <c r="AC7" s="13">
        <f>损益!AE8+损益!AE12</f>
        <v>5209.7218661618472</v>
      </c>
      <c r="AD7" s="30"/>
    </row>
    <row r="8" spans="1:30" ht="18" customHeight="1" x14ac:dyDescent="0.3">
      <c r="A8" s="10" t="s">
        <v>147</v>
      </c>
      <c r="B8" s="15" t="s">
        <v>250</v>
      </c>
      <c r="C8" s="12"/>
      <c r="D8" s="12"/>
      <c r="E8" s="13">
        <f>损益!G37</f>
        <v>733.89553954646021</v>
      </c>
      <c r="F8" s="13">
        <f>损益!H37</f>
        <v>768.35780973451324</v>
      </c>
      <c r="G8" s="13">
        <f>损益!I37</f>
        <v>764.39720246784077</v>
      </c>
      <c r="H8" s="13">
        <f>损益!J37</f>
        <v>760.43659520116796</v>
      </c>
      <c r="I8" s="13">
        <f>损益!K37</f>
        <v>756.47598793449515</v>
      </c>
      <c r="J8" s="13">
        <f>损益!L37</f>
        <v>752.51538066782246</v>
      </c>
      <c r="K8" s="13">
        <f>损益!M37</f>
        <v>748.55477340114953</v>
      </c>
      <c r="L8" s="13">
        <f>损益!N37</f>
        <v>744.59416613447684</v>
      </c>
      <c r="M8" s="13">
        <f>损益!O37</f>
        <v>740.63355886780425</v>
      </c>
      <c r="N8" s="13">
        <f>损益!P37</f>
        <v>736.67295160113144</v>
      </c>
      <c r="O8" s="13">
        <f>损益!Q37</f>
        <v>732.71234433445863</v>
      </c>
      <c r="P8" s="13">
        <f>损益!R37</f>
        <v>728.75173706778605</v>
      </c>
      <c r="Q8" s="13">
        <f>损益!S37</f>
        <v>724.79112980111313</v>
      </c>
      <c r="R8" s="13">
        <f>损益!T37</f>
        <v>720.83052253444032</v>
      </c>
      <c r="S8" s="13">
        <f>损益!U37</f>
        <v>716.86991526776774</v>
      </c>
      <c r="T8" s="13">
        <f>损益!V37</f>
        <v>712.90930800109493</v>
      </c>
      <c r="U8" s="13">
        <f>损益!W37</f>
        <v>708.94870073442235</v>
      </c>
      <c r="V8" s="13">
        <f>损益!X37</f>
        <v>704.98809346774954</v>
      </c>
      <c r="W8" s="13">
        <f>损益!Y37</f>
        <v>701.02748620107661</v>
      </c>
      <c r="X8" s="13">
        <f>损益!Z37</f>
        <v>697.06687893440392</v>
      </c>
      <c r="Y8" s="13">
        <f>损益!AA37</f>
        <v>693.10627166773111</v>
      </c>
      <c r="Z8" s="13">
        <f>损益!AB37</f>
        <v>689.14566440105841</v>
      </c>
      <c r="AA8" s="13">
        <f>损益!AC37</f>
        <v>685.18505713438572</v>
      </c>
      <c r="AB8" s="13">
        <f>损益!AD37</f>
        <v>681.22444986771279</v>
      </c>
      <c r="AC8" s="13">
        <f>损益!AE37</f>
        <v>677.26384260104021</v>
      </c>
      <c r="AD8" s="13">
        <f>SUM(D8:AC8)</f>
        <v>18081.355367573105</v>
      </c>
    </row>
    <row r="9" spans="1:30" ht="18" customHeight="1" x14ac:dyDescent="0.3">
      <c r="A9" s="10" t="s">
        <v>188</v>
      </c>
      <c r="B9" s="11" t="s">
        <v>189</v>
      </c>
      <c r="C9" s="12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25"/>
      <c r="V9" s="25"/>
      <c r="W9" s="25"/>
      <c r="X9" s="25"/>
      <c r="Y9" s="25"/>
      <c r="Z9" s="25"/>
      <c r="AA9" s="25"/>
      <c r="AB9" s="25"/>
      <c r="AC9" s="25"/>
      <c r="AD9" s="30"/>
    </row>
    <row r="10" spans="1:30" ht="18" customHeight="1" x14ac:dyDescent="0.3">
      <c r="A10" s="10" t="s">
        <v>287</v>
      </c>
      <c r="B10" s="15" t="s">
        <v>288</v>
      </c>
      <c r="C10" s="12"/>
      <c r="D10" s="12"/>
      <c r="E10" s="13">
        <f>(1-参数表!D13)*参数表!$C$11*损益!G47</f>
        <v>0</v>
      </c>
      <c r="F10" s="13">
        <f>(1-参数表!E13)*参数表!$C$11*损益!H47</f>
        <v>0</v>
      </c>
      <c r="G10" s="13">
        <f>(1-参数表!F13)*参数表!$C$11*损益!I47</f>
        <v>0</v>
      </c>
      <c r="H10" s="13">
        <f>(1-参数表!G13)*参数表!$C$11*损益!J47</f>
        <v>0</v>
      </c>
      <c r="I10" s="13">
        <f>(1-参数表!H13)*参数表!$C$11*损益!K47</f>
        <v>0</v>
      </c>
      <c r="J10" s="13">
        <f>(1-参数表!I13)*参数表!$C$11*损益!L47</f>
        <v>0</v>
      </c>
      <c r="K10" s="13">
        <f>(1-参数表!J13)*参数表!$C$11*损益!M47</f>
        <v>0</v>
      </c>
      <c r="L10" s="13">
        <f>(1-参数表!K13)*参数表!$C$11*损益!N47</f>
        <v>0</v>
      </c>
      <c r="M10" s="13">
        <f>(1-参数表!L13)*参数表!$C$11*损益!O47</f>
        <v>0</v>
      </c>
      <c r="N10" s="13">
        <f>(1-参数表!M13)*参数表!$C$11*损益!P47</f>
        <v>0</v>
      </c>
      <c r="O10" s="13">
        <f>(1-参数表!N13)*参数表!$C$11*损益!Q47</f>
        <v>0</v>
      </c>
      <c r="P10" s="13">
        <f>(1-参数表!O13)*参数表!$C$11*损益!R47</f>
        <v>0</v>
      </c>
      <c r="Q10" s="13">
        <f>(1-参数表!P13)*参数表!$C$11*损益!S47</f>
        <v>0</v>
      </c>
      <c r="R10" s="13">
        <f>(1-参数表!Q13)*参数表!$C$11*损益!T47</f>
        <v>0</v>
      </c>
      <c r="S10" s="13">
        <f>(1-参数表!R13)*参数表!$C$11*损益!U47</f>
        <v>0</v>
      </c>
      <c r="T10" s="13">
        <f>(1-参数表!S13)*参数表!$C$11*损益!V47</f>
        <v>0</v>
      </c>
      <c r="U10" s="13">
        <f>(1-参数表!T13)*参数表!$C$11*损益!W47</f>
        <v>0</v>
      </c>
      <c r="V10" s="13">
        <f>(1-参数表!U13)*参数表!$C$11*损益!X47</f>
        <v>0</v>
      </c>
      <c r="W10" s="13">
        <f>(1-参数表!V13)*参数表!$C$11*损益!Y47</f>
        <v>0</v>
      </c>
      <c r="X10" s="13">
        <f>(1-参数表!W13)*参数表!$C$11*损益!Z47</f>
        <v>0</v>
      </c>
      <c r="Y10" s="13">
        <f>(1-参数表!X13)*参数表!$C$11*损益!AA47</f>
        <v>0</v>
      </c>
      <c r="Z10" s="13">
        <f>(1-参数表!Y13)*参数表!$C$11*损益!AB47</f>
        <v>0</v>
      </c>
      <c r="AA10" s="13">
        <f>(1-参数表!Z13)*参数表!$C$11*损益!AC47</f>
        <v>0</v>
      </c>
      <c r="AB10" s="13">
        <f>(1-参数表!AA13)*参数表!$C$11*损益!AD47</f>
        <v>0</v>
      </c>
      <c r="AC10" s="13">
        <f>(1-参数表!AB13)*参数表!$C$11*损益!AE47</f>
        <v>0</v>
      </c>
      <c r="AD10" s="30"/>
    </row>
    <row r="11" spans="1:30" s="2" customFormat="1" ht="18" customHeight="1" x14ac:dyDescent="0.3">
      <c r="A11" s="6">
        <v>1.2</v>
      </c>
      <c r="B11" s="7" t="s">
        <v>190</v>
      </c>
      <c r="C11" s="8"/>
      <c r="D11" s="9">
        <f>D12+D13+D14+D15+D16</f>
        <v>0</v>
      </c>
      <c r="E11" s="9">
        <f>E12+E13+E14+E15+E16</f>
        <v>759.48128203801753</v>
      </c>
      <c r="F11" s="9">
        <f t="shared" ref="F11:AC11" si="2">F12+F13+F14+F15+F16</f>
        <v>1079.9352919096225</v>
      </c>
      <c r="G11" s="9">
        <f t="shared" si="2"/>
        <v>757.05625178122762</v>
      </c>
      <c r="H11" s="9">
        <f t="shared" si="2"/>
        <v>1260.8930097767616</v>
      </c>
      <c r="I11" s="9">
        <f t="shared" si="2"/>
        <v>940.89428105557624</v>
      </c>
      <c r="J11" s="9">
        <f t="shared" si="2"/>
        <v>1296.0343181710275</v>
      </c>
      <c r="K11" s="9">
        <f t="shared" si="2"/>
        <v>1067.5445968054264</v>
      </c>
      <c r="L11" s="9">
        <f t="shared" si="2"/>
        <v>2047.6540003859975</v>
      </c>
      <c r="M11" s="9">
        <f t="shared" si="2"/>
        <v>1988.5588782125551</v>
      </c>
      <c r="N11" s="9">
        <f t="shared" si="2"/>
        <v>2375.1668768820191</v>
      </c>
      <c r="O11" s="9">
        <f t="shared" si="2"/>
        <v>2036.879667115415</v>
      </c>
      <c r="P11" s="9">
        <f t="shared" si="2"/>
        <v>2442.8172642738118</v>
      </c>
      <c r="Q11" s="9">
        <f t="shared" si="2"/>
        <v>2089.9612577208241</v>
      </c>
      <c r="R11" s="9">
        <f t="shared" si="2"/>
        <v>2511.4684317967485</v>
      </c>
      <c r="S11" s="9">
        <f t="shared" si="2"/>
        <v>2303.7895911665119</v>
      </c>
      <c r="T11" s="9">
        <f t="shared" si="2"/>
        <v>2734.2769735272295</v>
      </c>
      <c r="U11" s="9">
        <f t="shared" si="2"/>
        <v>2325.6463219633661</v>
      </c>
      <c r="V11" s="9">
        <f t="shared" si="2"/>
        <v>2730.9096096796575</v>
      </c>
      <c r="W11" s="9">
        <f t="shared" si="2"/>
        <v>2297.5758640492004</v>
      </c>
      <c r="X11" s="9">
        <f t="shared" si="2"/>
        <v>2715.8561803428147</v>
      </c>
      <c r="Y11" s="9">
        <f t="shared" si="2"/>
        <v>2876.5471929424762</v>
      </c>
      <c r="Z11" s="9">
        <f t="shared" si="2"/>
        <v>3306.2506494333011</v>
      </c>
      <c r="AA11" s="9">
        <f t="shared" si="2"/>
        <v>2852.7987824473116</v>
      </c>
      <c r="AB11" s="9">
        <f t="shared" si="2"/>
        <v>3301.8212616391911</v>
      </c>
      <c r="AC11" s="9">
        <f t="shared" si="2"/>
        <v>2826.290511566282</v>
      </c>
      <c r="AD11" s="32">
        <f>AD12+AD13+AD15+AD16</f>
        <v>48281.206457097222</v>
      </c>
    </row>
    <row r="12" spans="1:30" ht="18" customHeight="1" x14ac:dyDescent="0.3">
      <c r="A12" s="10" t="s">
        <v>131</v>
      </c>
      <c r="B12" s="11" t="s">
        <v>191</v>
      </c>
      <c r="C12" s="12"/>
      <c r="D12" s="12"/>
      <c r="E12" s="13">
        <f>现金流量!E53</f>
        <v>759.48128203801753</v>
      </c>
      <c r="F12" s="13">
        <f>现金流量!F53</f>
        <v>758.26876690962251</v>
      </c>
      <c r="G12" s="13">
        <f>现金流量!G53</f>
        <v>757.05625178122762</v>
      </c>
      <c r="H12" s="13">
        <f>现金流量!H53</f>
        <v>857.95027378082682</v>
      </c>
      <c r="I12" s="13">
        <f>现金流量!I53</f>
        <v>856.73775865243192</v>
      </c>
      <c r="J12" s="13">
        <f>现金流量!J53</f>
        <v>855.52524352403702</v>
      </c>
      <c r="K12" s="13">
        <f>现金流量!K53</f>
        <v>854.31272839564201</v>
      </c>
      <c r="L12" s="13">
        <f>现金流量!L53</f>
        <v>853.10021326724711</v>
      </c>
      <c r="M12" s="13">
        <f>现金流量!M53</f>
        <v>953.99423526684632</v>
      </c>
      <c r="N12" s="13">
        <f>现金流量!N53</f>
        <v>952.78172013845142</v>
      </c>
      <c r="O12" s="13">
        <f>现金流量!O53</f>
        <v>951.56920501005652</v>
      </c>
      <c r="P12" s="13">
        <f>现金流量!P53</f>
        <v>950.35668988166151</v>
      </c>
      <c r="Q12" s="13">
        <f>现金流量!Q53</f>
        <v>949.14417475326661</v>
      </c>
      <c r="R12" s="13">
        <f>现金流量!R53</f>
        <v>947.9316596248716</v>
      </c>
      <c r="S12" s="13">
        <f>现金流量!S53</f>
        <v>1150.9322187524649</v>
      </c>
      <c r="T12" s="13">
        <f>现金流量!T53</f>
        <v>1149.71970362407</v>
      </c>
      <c r="U12" s="13">
        <f>现金流量!U53</f>
        <v>1148.5071884956751</v>
      </c>
      <c r="V12" s="13">
        <f>现金流量!V53</f>
        <v>1147.2946733672802</v>
      </c>
      <c r="W12" s="13">
        <f>现金流量!W53</f>
        <v>1146.0821582388853</v>
      </c>
      <c r="X12" s="13">
        <f>现金流量!X53</f>
        <v>1144.8696431104904</v>
      </c>
      <c r="Y12" s="13">
        <f>现金流量!Y53</f>
        <v>1144.8696431104904</v>
      </c>
      <c r="Z12" s="13">
        <f>现金流量!Z53</f>
        <v>1144.8696431104904</v>
      </c>
      <c r="AA12" s="13">
        <f>现金流量!AA53</f>
        <v>1144.8696431104904</v>
      </c>
      <c r="AB12" s="13">
        <f>现金流量!AB53</f>
        <v>1144.8696431104904</v>
      </c>
      <c r="AC12" s="13">
        <f>现金流量!AC53</f>
        <v>1144.8696431104904</v>
      </c>
      <c r="AD12" s="13">
        <f>SUM(D12:AC12)</f>
        <v>24869.964004165526</v>
      </c>
    </row>
    <row r="13" spans="1:30" ht="18" customHeight="1" x14ac:dyDescent="0.3">
      <c r="A13" s="10" t="s">
        <v>132</v>
      </c>
      <c r="B13" s="11" t="s">
        <v>192</v>
      </c>
      <c r="C13" s="12"/>
      <c r="D13" s="12"/>
      <c r="E13" s="13">
        <f>现金流量!E56</f>
        <v>0</v>
      </c>
      <c r="F13" s="13">
        <f>现金流量!F56</f>
        <v>0</v>
      </c>
      <c r="G13" s="13">
        <f>现金流量!G56</f>
        <v>0</v>
      </c>
      <c r="H13" s="13">
        <f>现金流量!H56</f>
        <v>0</v>
      </c>
      <c r="I13" s="13">
        <f>现金流量!I56</f>
        <v>0</v>
      </c>
      <c r="J13" s="13">
        <f>现金流量!J56</f>
        <v>0</v>
      </c>
      <c r="K13" s="13">
        <f>现金流量!K56</f>
        <v>0</v>
      </c>
      <c r="L13" s="13">
        <f>现金流量!L56</f>
        <v>55.909831345058187</v>
      </c>
      <c r="M13" s="13">
        <f>现金流量!M56</f>
        <v>74.063355886780428</v>
      </c>
      <c r="N13" s="13">
        <f>现金流量!N56</f>
        <v>73.667295160113142</v>
      </c>
      <c r="O13" s="13">
        <f>现金流量!O56</f>
        <v>73.271234433445869</v>
      </c>
      <c r="P13" s="13">
        <f>现金流量!P56</f>
        <v>72.875173706778611</v>
      </c>
      <c r="Q13" s="13">
        <f>现金流量!Q56</f>
        <v>72.47911298011131</v>
      </c>
      <c r="R13" s="13">
        <f>现金流量!R56</f>
        <v>72.083052253444038</v>
      </c>
      <c r="S13" s="13">
        <f>现金流量!S56</f>
        <v>71.686991526776779</v>
      </c>
      <c r="T13" s="13">
        <f>现金流量!T56</f>
        <v>71.290930800109493</v>
      </c>
      <c r="U13" s="13">
        <f>现金流量!U56</f>
        <v>70.894870073442235</v>
      </c>
      <c r="V13" s="13">
        <f>现金流量!V56</f>
        <v>70.498809346774962</v>
      </c>
      <c r="W13" s="13">
        <f>现金流量!W56</f>
        <v>70.102748620107661</v>
      </c>
      <c r="X13" s="13">
        <f>现金流量!X56</f>
        <v>69.706687893440389</v>
      </c>
      <c r="Y13" s="13">
        <f>现金流量!Y56</f>
        <v>69.310627166773116</v>
      </c>
      <c r="Z13" s="13">
        <f>现金流量!Z56</f>
        <v>68.914566440105844</v>
      </c>
      <c r="AA13" s="13">
        <f>现金流量!AA56</f>
        <v>68.518505713438572</v>
      </c>
      <c r="AB13" s="13">
        <f>现金流量!AB56</f>
        <v>68.122444986771285</v>
      </c>
      <c r="AC13" s="13">
        <f>现金流量!AC56</f>
        <v>67.726384260104027</v>
      </c>
      <c r="AD13" s="13">
        <f>SUM(D13:AC13)</f>
        <v>1261.1226225935759</v>
      </c>
    </row>
    <row r="14" spans="1:30" ht="18" customHeight="1" x14ac:dyDescent="0.3">
      <c r="A14" s="10" t="s">
        <v>133</v>
      </c>
      <c r="B14" s="15" t="s">
        <v>262</v>
      </c>
      <c r="C14" s="12"/>
      <c r="D14" s="12"/>
      <c r="E14" s="12">
        <f>参数表!D68</f>
        <v>0</v>
      </c>
      <c r="F14" s="12">
        <f>参数表!E68</f>
        <v>321.66652500000004</v>
      </c>
      <c r="G14" s="12">
        <f>参数表!F68</f>
        <v>0</v>
      </c>
      <c r="H14" s="12">
        <f>参数表!G68</f>
        <v>329.51205000000004</v>
      </c>
      <c r="I14" s="12">
        <f>参数表!H68</f>
        <v>0</v>
      </c>
      <c r="J14" s="12">
        <f>参数表!I68</f>
        <v>345.98765250000002</v>
      </c>
      <c r="K14" s="12">
        <f>参数表!J68</f>
        <v>0</v>
      </c>
      <c r="L14" s="12">
        <f>参数表!K68</f>
        <v>354.63734381250003</v>
      </c>
      <c r="M14" s="12">
        <f>参数表!L68</f>
        <v>0</v>
      </c>
      <c r="N14" s="12">
        <f>参数表!M68</f>
        <v>363.28703512500005</v>
      </c>
      <c r="O14" s="12">
        <f>参数表!N68</f>
        <v>0</v>
      </c>
      <c r="P14" s="12">
        <f>参数表!O68</f>
        <v>381.45138688125002</v>
      </c>
      <c r="Q14" s="12">
        <f>参数表!P68</f>
        <v>0</v>
      </c>
      <c r="R14" s="12">
        <f>参数表!Q68</f>
        <v>390.9876715532813</v>
      </c>
      <c r="S14" s="12">
        <f>参数表!R68</f>
        <v>0</v>
      </c>
      <c r="T14" s="12">
        <f>参数表!S68</f>
        <v>400.52395622531259</v>
      </c>
      <c r="U14" s="12">
        <f>参数表!T68</f>
        <v>0</v>
      </c>
      <c r="V14" s="12">
        <f>参数表!U68</f>
        <v>420.55015403657814</v>
      </c>
      <c r="W14" s="12">
        <f>参数表!V68</f>
        <v>0</v>
      </c>
      <c r="X14" s="12">
        <f>参数表!W68</f>
        <v>431.06390788749263</v>
      </c>
      <c r="Y14" s="12">
        <f>参数表!X68</f>
        <v>0</v>
      </c>
      <c r="Z14" s="12">
        <f>参数表!Y68</f>
        <v>441.57766173840713</v>
      </c>
      <c r="AA14" s="12">
        <f>参数表!Z68</f>
        <v>0</v>
      </c>
      <c r="AB14" s="12">
        <f>参数表!AA68</f>
        <v>463.65654482532744</v>
      </c>
      <c r="AC14" s="12">
        <f>参数表!AB68</f>
        <v>0</v>
      </c>
      <c r="AD14" s="13">
        <f>SUM(D14:AC14)</f>
        <v>4644.9018895851495</v>
      </c>
    </row>
    <row r="15" spans="1:30" ht="18" customHeight="1" x14ac:dyDescent="0.3">
      <c r="A15" s="10" t="s">
        <v>135</v>
      </c>
      <c r="B15" s="11" t="s">
        <v>193</v>
      </c>
      <c r="C15" s="12"/>
      <c r="D15" s="12"/>
      <c r="E15" s="13">
        <f>现金流量!E57</f>
        <v>0</v>
      </c>
      <c r="F15" s="13">
        <f>现金流量!F57</f>
        <v>0</v>
      </c>
      <c r="G15" s="13">
        <f>现金流量!G57</f>
        <v>0</v>
      </c>
      <c r="H15" s="13">
        <f>现金流量!H57</f>
        <v>73.430685995934596</v>
      </c>
      <c r="I15" s="13">
        <f>现金流量!I57</f>
        <v>84.156522403144322</v>
      </c>
      <c r="J15" s="13">
        <f>现金流量!J57</f>
        <v>94.521422146990517</v>
      </c>
      <c r="K15" s="13">
        <f>现金流量!K57</f>
        <v>213.23186840978428</v>
      </c>
      <c r="L15" s="13">
        <f>现金流量!L57</f>
        <v>224.90829851061039</v>
      </c>
      <c r="M15" s="13">
        <f>现金流量!M57</f>
        <v>219.86772819112412</v>
      </c>
      <c r="N15" s="13">
        <f>现金流量!N57</f>
        <v>248.7578748573228</v>
      </c>
      <c r="O15" s="13">
        <f>现金流量!O57</f>
        <v>279.32688333745409</v>
      </c>
      <c r="P15" s="13">
        <f>现金流量!P57</f>
        <v>309.38227673633537</v>
      </c>
      <c r="Q15" s="13">
        <f>现金流量!Q57</f>
        <v>343.54684018633316</v>
      </c>
      <c r="R15" s="13">
        <f>现金流量!R57</f>
        <v>379.635525830711</v>
      </c>
      <c r="S15" s="13">
        <f>现金流量!S57</f>
        <v>364.30046561950223</v>
      </c>
      <c r="T15" s="13">
        <f>现金流量!T57</f>
        <v>399.83307487664251</v>
      </c>
      <c r="U15" s="13">
        <f>现金流量!U57</f>
        <v>397.29556265982637</v>
      </c>
      <c r="V15" s="13">
        <f>现金流量!V57</f>
        <v>387.57787946127473</v>
      </c>
      <c r="W15" s="13">
        <f>现金流量!W57</f>
        <v>380.36347098913086</v>
      </c>
      <c r="X15" s="13">
        <f>现金流量!X57</f>
        <v>373.14906251698721</v>
      </c>
      <c r="Y15" s="13">
        <f>现金流量!Y57</f>
        <v>969.26065099748143</v>
      </c>
      <c r="Z15" s="13">
        <f>现金流量!Z57</f>
        <v>961.74311374323929</v>
      </c>
      <c r="AA15" s="13">
        <f>现金流量!AA57</f>
        <v>954.22557648899692</v>
      </c>
      <c r="AB15" s="13">
        <f>现金流量!AB57</f>
        <v>943.94817884888926</v>
      </c>
      <c r="AC15" s="13">
        <f>现金流量!AC57</f>
        <v>936.43064159464711</v>
      </c>
      <c r="AD15" s="13">
        <f>SUM(D15:AC15)</f>
        <v>9538.8936044023631</v>
      </c>
    </row>
    <row r="16" spans="1:30" ht="18" customHeight="1" x14ac:dyDescent="0.3">
      <c r="A16" s="10" t="s">
        <v>194</v>
      </c>
      <c r="B16" s="15" t="s">
        <v>261</v>
      </c>
      <c r="C16" s="12"/>
      <c r="D16" s="12"/>
      <c r="E16" s="13">
        <f>现金流量!E55</f>
        <v>0</v>
      </c>
      <c r="F16" s="13">
        <f>现金流量!F55</f>
        <v>0</v>
      </c>
      <c r="G16" s="13">
        <f>现金流量!G55</f>
        <v>0</v>
      </c>
      <c r="H16" s="13">
        <f>现金流量!H55</f>
        <v>0</v>
      </c>
      <c r="I16" s="13">
        <f>现金流量!I55</f>
        <v>0</v>
      </c>
      <c r="J16" s="13">
        <f>现金流量!J55</f>
        <v>0</v>
      </c>
      <c r="K16" s="13">
        <f>现金流量!K55</f>
        <v>0</v>
      </c>
      <c r="L16" s="13">
        <f>现金流量!L55</f>
        <v>559.09831345058183</v>
      </c>
      <c r="M16" s="13">
        <f>现金流量!M55</f>
        <v>740.63355886780425</v>
      </c>
      <c r="N16" s="13">
        <f>现金流量!N55</f>
        <v>736.67295160113144</v>
      </c>
      <c r="O16" s="13">
        <f>现金流量!O55</f>
        <v>732.71234433445863</v>
      </c>
      <c r="P16" s="13">
        <f>现金流量!P55</f>
        <v>728.75173706778605</v>
      </c>
      <c r="Q16" s="13">
        <f>现金流量!Q55</f>
        <v>724.79112980111313</v>
      </c>
      <c r="R16" s="13">
        <f>现金流量!R55</f>
        <v>720.83052253444032</v>
      </c>
      <c r="S16" s="13">
        <f>现金流量!S55</f>
        <v>716.86991526776774</v>
      </c>
      <c r="T16" s="13">
        <f>现金流量!T55</f>
        <v>712.90930800109493</v>
      </c>
      <c r="U16" s="13">
        <f>现金流量!U55</f>
        <v>708.94870073442235</v>
      </c>
      <c r="V16" s="13">
        <f>现金流量!V55</f>
        <v>704.98809346774954</v>
      </c>
      <c r="W16" s="13">
        <f>现金流量!W55</f>
        <v>701.02748620107661</v>
      </c>
      <c r="X16" s="13">
        <f>现金流量!X55</f>
        <v>697.06687893440392</v>
      </c>
      <c r="Y16" s="13">
        <f>现金流量!Y55</f>
        <v>693.10627166773111</v>
      </c>
      <c r="Z16" s="13">
        <f>现金流量!Z55</f>
        <v>689.14566440105841</v>
      </c>
      <c r="AA16" s="13">
        <f>现金流量!AA55</f>
        <v>685.18505713438572</v>
      </c>
      <c r="AB16" s="13">
        <f>现金流量!AB55</f>
        <v>681.22444986771279</v>
      </c>
      <c r="AC16" s="13">
        <f>现金流量!AC55</f>
        <v>677.26384260104021</v>
      </c>
      <c r="AD16" s="13">
        <f>SUM(D16:AC16)</f>
        <v>12611.226225935758</v>
      </c>
    </row>
    <row r="17" spans="1:30" s="2" customFormat="1" ht="18" customHeight="1" x14ac:dyDescent="0.3">
      <c r="A17" s="6">
        <v>2</v>
      </c>
      <c r="B17" s="7" t="s">
        <v>196</v>
      </c>
      <c r="C17" s="8"/>
      <c r="D17" s="9">
        <f>D18-D24</f>
        <v>0</v>
      </c>
      <c r="E17" s="9">
        <f>E18-E24</f>
        <v>-4501.4669822361611</v>
      </c>
      <c r="F17" s="9">
        <f t="shared" ref="F17:S17" si="3">F18-F24</f>
        <v>-4678.191323425026</v>
      </c>
      <c r="G17" s="9">
        <f t="shared" si="3"/>
        <v>-4727.1248208616043</v>
      </c>
      <c r="H17" s="9">
        <f t="shared" si="3"/>
        <v>-4658.837785152472</v>
      </c>
      <c r="I17" s="9">
        <f t="shared" si="3"/>
        <v>-4712.8960006448087</v>
      </c>
      <c r="J17" s="9">
        <f t="shared" si="3"/>
        <v>-4765.135095353794</v>
      </c>
      <c r="K17" s="9">
        <f t="shared" si="3"/>
        <v>-4749.3279634980954</v>
      </c>
      <c r="L17" s="9">
        <f t="shared" si="3"/>
        <v>-4774.5490525158802</v>
      </c>
      <c r="M17" s="9">
        <f t="shared" si="3"/>
        <v>-4763.6614206257891</v>
      </c>
      <c r="N17" s="9">
        <f t="shared" si="3"/>
        <v>-4826.0641374247789</v>
      </c>
      <c r="O17" s="9">
        <f t="shared" si="3"/>
        <v>-4892.0931957418634</v>
      </c>
      <c r="P17" s="9">
        <f t="shared" si="3"/>
        <v>-4957.0128454834457</v>
      </c>
      <c r="Q17" s="9">
        <f t="shared" si="3"/>
        <v>-5030.8083025354408</v>
      </c>
      <c r="R17" s="9">
        <f t="shared" si="3"/>
        <v>-5108.7598635272971</v>
      </c>
      <c r="S17" s="9">
        <f t="shared" si="3"/>
        <v>-4645.5767076938682</v>
      </c>
      <c r="T17" s="9">
        <f t="shared" ref="T17:AC17" si="4">T18-T24</f>
        <v>-901.92202675485692</v>
      </c>
      <c r="U17" s="9">
        <f t="shared" si="4"/>
        <v>-877.73341534522524</v>
      </c>
      <c r="V17" s="9">
        <f t="shared" si="4"/>
        <v>-856.74321963635373</v>
      </c>
      <c r="W17" s="9">
        <f t="shared" si="4"/>
        <v>-841.16009733652311</v>
      </c>
      <c r="X17" s="9">
        <f t="shared" si="4"/>
        <v>-825.57697503669272</v>
      </c>
      <c r="Y17" s="9">
        <f t="shared" si="4"/>
        <v>-2113.1780061545605</v>
      </c>
      <c r="Z17" s="9">
        <f t="shared" si="4"/>
        <v>-2096.9401256853971</v>
      </c>
      <c r="AA17" s="9">
        <f t="shared" si="4"/>
        <v>-2080.7022452162337</v>
      </c>
      <c r="AB17" s="9">
        <f t="shared" si="4"/>
        <v>-2058.5030663136008</v>
      </c>
      <c r="AC17" s="9">
        <f t="shared" si="4"/>
        <v>-2042.2651858444381</v>
      </c>
      <c r="AD17" s="32">
        <f>AD18-AD24</f>
        <v>-144203.50799145584</v>
      </c>
    </row>
    <row r="18" spans="1:30" s="2" customFormat="1" ht="18" customHeight="1" x14ac:dyDescent="0.3">
      <c r="A18" s="6">
        <v>2.1</v>
      </c>
      <c r="B18" s="7" t="s">
        <v>186</v>
      </c>
      <c r="C18" s="8"/>
      <c r="D18" s="9">
        <f t="shared" ref="D18:AD18" si="5">D19+D20+D21+D22+D23</f>
        <v>56837.218705634412</v>
      </c>
      <c r="E18" s="9">
        <f t="shared" si="5"/>
        <v>450</v>
      </c>
      <c r="F18" s="9">
        <f t="shared" si="5"/>
        <v>0</v>
      </c>
      <c r="G18" s="9">
        <f t="shared" si="5"/>
        <v>0</v>
      </c>
      <c r="H18" s="9">
        <f t="shared" si="5"/>
        <v>0</v>
      </c>
      <c r="I18" s="9">
        <f t="shared" si="5"/>
        <v>0</v>
      </c>
      <c r="J18" s="9">
        <f t="shared" si="5"/>
        <v>0</v>
      </c>
      <c r="K18" s="9">
        <f t="shared" si="5"/>
        <v>0</v>
      </c>
      <c r="L18" s="9">
        <f t="shared" si="5"/>
        <v>0</v>
      </c>
      <c r="M18" s="9">
        <f t="shared" si="5"/>
        <v>0</v>
      </c>
      <c r="N18" s="9">
        <f t="shared" si="5"/>
        <v>0</v>
      </c>
      <c r="O18" s="9">
        <f t="shared" si="5"/>
        <v>0</v>
      </c>
      <c r="P18" s="9">
        <f t="shared" si="5"/>
        <v>0</v>
      </c>
      <c r="Q18" s="9">
        <f t="shared" si="5"/>
        <v>0</v>
      </c>
      <c r="R18" s="9">
        <f t="shared" si="5"/>
        <v>0</v>
      </c>
      <c r="S18" s="9">
        <f t="shared" si="5"/>
        <v>430.05942577721817</v>
      </c>
      <c r="T18" s="9">
        <f t="shared" si="5"/>
        <v>0</v>
      </c>
      <c r="U18" s="9">
        <f t="shared" si="5"/>
        <v>0</v>
      </c>
      <c r="V18" s="9">
        <f t="shared" si="5"/>
        <v>0</v>
      </c>
      <c r="W18" s="9">
        <f t="shared" si="5"/>
        <v>0</v>
      </c>
      <c r="X18" s="9">
        <f t="shared" si="5"/>
        <v>0</v>
      </c>
      <c r="Y18" s="9">
        <f t="shared" si="5"/>
        <v>0</v>
      </c>
      <c r="Z18" s="9">
        <f t="shared" si="5"/>
        <v>0</v>
      </c>
      <c r="AA18" s="9">
        <f t="shared" si="5"/>
        <v>0</v>
      </c>
      <c r="AB18" s="9">
        <f t="shared" si="5"/>
        <v>0</v>
      </c>
      <c r="AC18" s="9">
        <f t="shared" si="5"/>
        <v>0</v>
      </c>
      <c r="AD18" s="32">
        <f t="shared" si="5"/>
        <v>0</v>
      </c>
    </row>
    <row r="19" spans="1:30" ht="18" customHeight="1" x14ac:dyDescent="0.3">
      <c r="A19" s="10" t="s">
        <v>19</v>
      </c>
      <c r="B19" s="11" t="s">
        <v>197</v>
      </c>
      <c r="C19" s="12"/>
      <c r="D19" s="14">
        <f>投资计划!F11</f>
        <v>11457.443741126881</v>
      </c>
      <c r="E19" s="14">
        <f>投资计划!G11</f>
        <v>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31"/>
    </row>
    <row r="20" spans="1:30" ht="18" customHeight="1" x14ac:dyDescent="0.3">
      <c r="A20" s="10" t="s">
        <v>21</v>
      </c>
      <c r="B20" s="11" t="s">
        <v>198</v>
      </c>
      <c r="C20" s="12"/>
      <c r="D20" s="14">
        <f>还贷!D6</f>
        <v>45379.774964507531</v>
      </c>
      <c r="E20" s="14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31"/>
    </row>
    <row r="21" spans="1:30" ht="18" customHeight="1" x14ac:dyDescent="0.3">
      <c r="A21" s="10" t="s">
        <v>199</v>
      </c>
      <c r="B21" s="11" t="s">
        <v>200</v>
      </c>
      <c r="C21" s="12"/>
      <c r="D21" s="12"/>
      <c r="E21" s="13">
        <f>投资计划!G18</f>
        <v>450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31"/>
    </row>
    <row r="22" spans="1:30" ht="18" customHeight="1" x14ac:dyDescent="0.3">
      <c r="A22" s="10" t="s">
        <v>201</v>
      </c>
      <c r="B22" s="11" t="s">
        <v>202</v>
      </c>
      <c r="C22" s="14">
        <f>MAX(F22:AC22)</f>
        <v>430.05942577721817</v>
      </c>
      <c r="D22" s="13">
        <f>IF(D5-D24-D28&lt;0,IF(-D24-D28+D19+D20+D21+D5&gt;=0,0,-D5-D19-D20-D21+D24+D28),0)</f>
        <v>0</v>
      </c>
      <c r="E22" s="13">
        <f t="shared" ref="E22:S22" si="6">IF(E5-E24-E28&lt;0,IF(D34-E24-E28+E19+E20+E21+E5&gt;=0,0,-D34-E5-E19-E20-E21+E24+E28),0)</f>
        <v>0</v>
      </c>
      <c r="F22" s="13">
        <f t="shared" si="6"/>
        <v>0</v>
      </c>
      <c r="G22" s="13">
        <f t="shared" si="6"/>
        <v>0</v>
      </c>
      <c r="H22" s="13">
        <f t="shared" si="6"/>
        <v>0</v>
      </c>
      <c r="I22" s="13">
        <f t="shared" si="6"/>
        <v>0</v>
      </c>
      <c r="J22" s="13">
        <f t="shared" si="6"/>
        <v>0</v>
      </c>
      <c r="K22" s="13">
        <f t="shared" si="6"/>
        <v>0</v>
      </c>
      <c r="L22" s="13">
        <f t="shared" si="6"/>
        <v>0</v>
      </c>
      <c r="M22" s="13">
        <f t="shared" si="6"/>
        <v>0</v>
      </c>
      <c r="N22" s="13">
        <f t="shared" si="6"/>
        <v>0</v>
      </c>
      <c r="O22" s="13">
        <f t="shared" si="6"/>
        <v>0</v>
      </c>
      <c r="P22" s="13">
        <f t="shared" si="6"/>
        <v>0</v>
      </c>
      <c r="Q22" s="13">
        <f t="shared" si="6"/>
        <v>0</v>
      </c>
      <c r="R22" s="13">
        <f t="shared" si="6"/>
        <v>0</v>
      </c>
      <c r="S22" s="13">
        <f t="shared" si="6"/>
        <v>430.05942577721817</v>
      </c>
      <c r="T22" s="13">
        <f t="shared" ref="T22:AC22" si="7">IF(T5-T24-T28&lt;0,IF(S34-T24-T28+T19+T20+T21+T5&gt;=0,0,-S34-T5-T19-T20-T21+T24+T28),0)</f>
        <v>0</v>
      </c>
      <c r="U22" s="13">
        <f t="shared" si="7"/>
        <v>0</v>
      </c>
      <c r="V22" s="13">
        <f t="shared" si="7"/>
        <v>0</v>
      </c>
      <c r="W22" s="13">
        <f t="shared" si="7"/>
        <v>0</v>
      </c>
      <c r="X22" s="13">
        <f t="shared" si="7"/>
        <v>0</v>
      </c>
      <c r="Y22" s="13">
        <f t="shared" si="7"/>
        <v>0</v>
      </c>
      <c r="Z22" s="13">
        <f t="shared" si="7"/>
        <v>0</v>
      </c>
      <c r="AA22" s="13">
        <f t="shared" si="7"/>
        <v>0</v>
      </c>
      <c r="AB22" s="13">
        <f t="shared" si="7"/>
        <v>0</v>
      </c>
      <c r="AC22" s="13">
        <f t="shared" si="7"/>
        <v>0</v>
      </c>
      <c r="AD22" s="31"/>
    </row>
    <row r="23" spans="1:30" ht="18" customHeight="1" x14ac:dyDescent="0.3">
      <c r="A23" s="10" t="s">
        <v>203</v>
      </c>
      <c r="B23" s="11" t="s">
        <v>204</v>
      </c>
      <c r="C23" s="12"/>
      <c r="D23" s="12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25"/>
      <c r="V23" s="25"/>
      <c r="W23" s="25"/>
      <c r="X23" s="25"/>
      <c r="Y23" s="25"/>
      <c r="Z23" s="25"/>
      <c r="AA23" s="25"/>
      <c r="AB23" s="25"/>
      <c r="AC23" s="25"/>
      <c r="AD23" s="31"/>
    </row>
    <row r="24" spans="1:30" s="2" customFormat="1" ht="18" customHeight="1" x14ac:dyDescent="0.3">
      <c r="A24" s="6">
        <v>2.2000000000000002</v>
      </c>
      <c r="B24" s="7" t="s">
        <v>190</v>
      </c>
      <c r="C24" s="8"/>
      <c r="D24" s="9">
        <f>D25+D26+D27+D30+D31+D32</f>
        <v>56837.218705634412</v>
      </c>
      <c r="E24" s="9">
        <f t="shared" ref="E24:AC24" si="8">E25+E26+E27+E30+E31+E32</f>
        <v>4951.4669822361611</v>
      </c>
      <c r="F24" s="9">
        <f t="shared" si="8"/>
        <v>4678.191323425026</v>
      </c>
      <c r="G24" s="9">
        <f t="shared" si="8"/>
        <v>4727.1248208616043</v>
      </c>
      <c r="H24" s="9">
        <f t="shared" si="8"/>
        <v>4658.837785152472</v>
      </c>
      <c r="I24" s="9">
        <f t="shared" si="8"/>
        <v>4712.8960006448087</v>
      </c>
      <c r="J24" s="9">
        <f t="shared" si="8"/>
        <v>4765.135095353794</v>
      </c>
      <c r="K24" s="9">
        <f t="shared" si="8"/>
        <v>4749.3279634980954</v>
      </c>
      <c r="L24" s="9">
        <f t="shared" si="8"/>
        <v>4774.5490525158802</v>
      </c>
      <c r="M24" s="9">
        <f t="shared" si="8"/>
        <v>4763.6614206257891</v>
      </c>
      <c r="N24" s="9">
        <f t="shared" si="8"/>
        <v>4826.0641374247789</v>
      </c>
      <c r="O24" s="9">
        <f t="shared" si="8"/>
        <v>4892.0931957418634</v>
      </c>
      <c r="P24" s="9">
        <f t="shared" si="8"/>
        <v>4957.0128454834457</v>
      </c>
      <c r="Q24" s="9">
        <f t="shared" si="8"/>
        <v>5030.8083025354408</v>
      </c>
      <c r="R24" s="9">
        <f t="shared" si="8"/>
        <v>5108.7598635272971</v>
      </c>
      <c r="S24" s="9">
        <f t="shared" si="8"/>
        <v>5075.6361334710864</v>
      </c>
      <c r="T24" s="9">
        <f t="shared" si="8"/>
        <v>901.92202675485692</v>
      </c>
      <c r="U24" s="9">
        <f t="shared" si="8"/>
        <v>877.73341534522524</v>
      </c>
      <c r="V24" s="9">
        <f t="shared" si="8"/>
        <v>856.74321963635373</v>
      </c>
      <c r="W24" s="9">
        <f t="shared" si="8"/>
        <v>841.16009733652311</v>
      </c>
      <c r="X24" s="9">
        <f t="shared" si="8"/>
        <v>825.57697503669272</v>
      </c>
      <c r="Y24" s="9">
        <f t="shared" si="8"/>
        <v>2113.1780061545605</v>
      </c>
      <c r="Z24" s="9">
        <f t="shared" si="8"/>
        <v>2096.9401256853971</v>
      </c>
      <c r="AA24" s="9">
        <f t="shared" si="8"/>
        <v>2080.7022452162337</v>
      </c>
      <c r="AB24" s="9">
        <f t="shared" si="8"/>
        <v>2058.5030663136008</v>
      </c>
      <c r="AC24" s="9">
        <f t="shared" si="8"/>
        <v>2042.2651858444381</v>
      </c>
      <c r="AD24" s="32">
        <f>SUM(D24:AC24)</f>
        <v>144203.50799145584</v>
      </c>
    </row>
    <row r="25" spans="1:30" ht="18" customHeight="1" x14ac:dyDescent="0.3">
      <c r="A25" s="10" t="s">
        <v>24</v>
      </c>
      <c r="B25" s="11" t="s">
        <v>205</v>
      </c>
      <c r="C25" s="12"/>
      <c r="D25" s="14">
        <f>投资计划!F10</f>
        <v>56837.218705634412</v>
      </c>
      <c r="E25" s="14">
        <f>投资计划!G15</f>
        <v>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25"/>
      <c r="V25" s="25"/>
      <c r="W25" s="25"/>
      <c r="X25" s="25"/>
      <c r="Y25" s="25"/>
      <c r="Z25" s="25"/>
      <c r="AA25" s="25"/>
      <c r="AB25" s="25"/>
      <c r="AC25" s="25"/>
      <c r="AD25" s="31"/>
    </row>
    <row r="26" spans="1:30" ht="18" customHeight="1" x14ac:dyDescent="0.3">
      <c r="A26" s="10" t="s">
        <v>26</v>
      </c>
      <c r="B26" s="11" t="s">
        <v>206</v>
      </c>
      <c r="C26" s="12"/>
      <c r="D26" s="12"/>
      <c r="E26" s="13">
        <f>投资计划!G8</f>
        <v>450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25"/>
      <c r="V26" s="25"/>
      <c r="W26" s="25"/>
      <c r="X26" s="25"/>
      <c r="Y26" s="25"/>
      <c r="Z26" s="25"/>
      <c r="AA26" s="25"/>
      <c r="AB26" s="25"/>
      <c r="AC26" s="25"/>
      <c r="AD26" s="31"/>
    </row>
    <row r="27" spans="1:30" ht="18" customHeight="1" x14ac:dyDescent="0.3">
      <c r="A27" s="10" t="s">
        <v>28</v>
      </c>
      <c r="B27" s="15" t="s">
        <v>207</v>
      </c>
      <c r="C27" s="12"/>
      <c r="D27" s="12"/>
      <c r="E27" s="13">
        <f>还贷!E10</f>
        <v>2159.0125918833614</v>
      </c>
      <c r="F27" s="13">
        <f>还贷!F10</f>
        <v>2259.4066774059374</v>
      </c>
      <c r="G27" s="13">
        <f>还贷!G10</f>
        <v>2364.4690879053137</v>
      </c>
      <c r="H27" s="13">
        <f>还贷!H10</f>
        <v>2474.4169004929108</v>
      </c>
      <c r="I27" s="13">
        <f>还贷!I10</f>
        <v>2589.4772863658313</v>
      </c>
      <c r="J27" s="13">
        <f>还贷!J10</f>
        <v>2709.8879801818425</v>
      </c>
      <c r="K27" s="13">
        <f>还贷!K10</f>
        <v>2835.8977712602982</v>
      </c>
      <c r="L27" s="13">
        <f>还贷!L10</f>
        <v>2967.7670176239021</v>
      </c>
      <c r="M27" s="13">
        <f>还贷!M10</f>
        <v>3105.7681839434135</v>
      </c>
      <c r="N27" s="13">
        <f>还贷!N10</f>
        <v>3250.186404496782</v>
      </c>
      <c r="O27" s="13">
        <f>还贷!O10</f>
        <v>3401.3200723058826</v>
      </c>
      <c r="P27" s="13">
        <f>还贷!P10</f>
        <v>3559.4814556681058</v>
      </c>
      <c r="Q27" s="13">
        <f>还贷!Q10</f>
        <v>3724.9973433566729</v>
      </c>
      <c r="R27" s="13">
        <f>还贷!R10</f>
        <v>3898.209719822758</v>
      </c>
      <c r="S27" s="13">
        <f>还贷!S10</f>
        <v>4079.4764717945163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31">
        <f>SUM(D27:AC27)</f>
        <v>45379.774964507524</v>
      </c>
    </row>
    <row r="28" spans="1:30" ht="18" customHeight="1" x14ac:dyDescent="0.3">
      <c r="A28" s="10"/>
      <c r="B28" s="15" t="s">
        <v>208</v>
      </c>
      <c r="C28" s="12"/>
      <c r="D28" s="13"/>
      <c r="E28" s="13">
        <f>D22</f>
        <v>0</v>
      </c>
      <c r="F28" s="13">
        <f>E22</f>
        <v>0</v>
      </c>
      <c r="G28" s="13">
        <f>F22</f>
        <v>0</v>
      </c>
      <c r="H28" s="13">
        <f>G22</f>
        <v>0</v>
      </c>
      <c r="I28" s="13">
        <f t="shared" ref="I28:X28" si="9">H22</f>
        <v>0</v>
      </c>
      <c r="J28" s="13">
        <f t="shared" si="9"/>
        <v>0</v>
      </c>
      <c r="K28" s="13">
        <f t="shared" si="9"/>
        <v>0</v>
      </c>
      <c r="L28" s="13">
        <f t="shared" si="9"/>
        <v>0</v>
      </c>
      <c r="M28" s="13">
        <f t="shared" si="9"/>
        <v>0</v>
      </c>
      <c r="N28" s="13">
        <f t="shared" si="9"/>
        <v>0</v>
      </c>
      <c r="O28" s="13">
        <f t="shared" si="9"/>
        <v>0</v>
      </c>
      <c r="P28" s="13">
        <f t="shared" si="9"/>
        <v>0</v>
      </c>
      <c r="Q28" s="13">
        <f t="shared" si="9"/>
        <v>0</v>
      </c>
      <c r="R28" s="13">
        <f t="shared" si="9"/>
        <v>0</v>
      </c>
      <c r="S28" s="13">
        <f t="shared" si="9"/>
        <v>0</v>
      </c>
      <c r="T28" s="13">
        <f t="shared" si="9"/>
        <v>430.05942577721817</v>
      </c>
      <c r="U28" s="13">
        <f t="shared" si="9"/>
        <v>0</v>
      </c>
      <c r="V28" s="13">
        <f t="shared" si="9"/>
        <v>0</v>
      </c>
      <c r="W28" s="13">
        <f t="shared" si="9"/>
        <v>0</v>
      </c>
      <c r="X28" s="13">
        <f t="shared" si="9"/>
        <v>0</v>
      </c>
      <c r="Y28" s="13">
        <f>X22</f>
        <v>0</v>
      </c>
      <c r="Z28" s="13">
        <f>Y22</f>
        <v>0</v>
      </c>
      <c r="AA28" s="13">
        <f>Z22</f>
        <v>0</v>
      </c>
      <c r="AB28" s="13">
        <f>AA22</f>
        <v>0</v>
      </c>
      <c r="AC28" s="13">
        <f>AB22</f>
        <v>0</v>
      </c>
      <c r="AD28" s="31"/>
    </row>
    <row r="29" spans="1:30" ht="18" customHeight="1" x14ac:dyDescent="0.3">
      <c r="A29" s="10"/>
      <c r="B29" s="16" t="s">
        <v>209</v>
      </c>
      <c r="C29" s="12"/>
      <c r="D29" s="12"/>
      <c r="E29" s="13"/>
      <c r="F29" s="13"/>
      <c r="G29" s="13"/>
      <c r="H29" s="13"/>
      <c r="I29" s="13"/>
      <c r="J29" s="13"/>
      <c r="K29" s="2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31"/>
    </row>
    <row r="30" spans="1:30" ht="18" customHeight="1" x14ac:dyDescent="0.3">
      <c r="A30" s="10" t="s">
        <v>210</v>
      </c>
      <c r="B30" s="11" t="s">
        <v>211</v>
      </c>
      <c r="C30" s="12"/>
      <c r="D30" s="12"/>
      <c r="E30" s="13">
        <f>成本!E13</f>
        <v>2129.7345358496</v>
      </c>
      <c r="F30" s="13">
        <f>成本!F13</f>
        <v>2029.340450327024</v>
      </c>
      <c r="G30" s="13">
        <f>成本!G13</f>
        <v>1924.2780398276479</v>
      </c>
      <c r="H30" s="13">
        <f>成本!H13</f>
        <v>1814.3302272400506</v>
      </c>
      <c r="I30" s="13">
        <f>成本!I13</f>
        <v>1699.2698413671303</v>
      </c>
      <c r="J30" s="13">
        <f>成本!J13</f>
        <v>1578.8591475511191</v>
      </c>
      <c r="K30" s="13">
        <f>成本!K13</f>
        <v>1452.8493564726634</v>
      </c>
      <c r="L30" s="13">
        <f>成本!L13</f>
        <v>1320.9801101090595</v>
      </c>
      <c r="M30" s="13">
        <f>成本!M13</f>
        <v>1182.9789437895481</v>
      </c>
      <c r="N30" s="13">
        <f>成本!N13</f>
        <v>1038.5607232361795</v>
      </c>
      <c r="O30" s="13">
        <f>成本!O13</f>
        <v>887.42705542707927</v>
      </c>
      <c r="P30" s="13">
        <f>成本!P13</f>
        <v>729.26567206485572</v>
      </c>
      <c r="Q30" s="13">
        <f>成本!Q13</f>
        <v>563.74978437628886</v>
      </c>
      <c r="R30" s="13">
        <f>成本!R13</f>
        <v>390.53740791020346</v>
      </c>
      <c r="S30" s="13">
        <f>成本!S13</f>
        <v>209.27065593844523</v>
      </c>
      <c r="T30" s="13">
        <f>成本!T13</f>
        <v>38.282585021309217</v>
      </c>
      <c r="U30" s="13">
        <f>成本!U13</f>
        <v>19.57500000000023</v>
      </c>
      <c r="V30" s="13">
        <f>成本!V13</f>
        <v>19.57500000000023</v>
      </c>
      <c r="W30" s="13">
        <f>成本!W13</f>
        <v>19.57500000000023</v>
      </c>
      <c r="X30" s="13">
        <f>成本!X13</f>
        <v>19.57500000000023</v>
      </c>
      <c r="Y30" s="13">
        <f>成本!Y13</f>
        <v>19.57500000000023</v>
      </c>
      <c r="Z30" s="13">
        <f>成本!Z13</f>
        <v>19.57500000000023</v>
      </c>
      <c r="AA30" s="13">
        <f>成本!AA13</f>
        <v>19.57500000000023</v>
      </c>
      <c r="AB30" s="13">
        <f>成本!AB13</f>
        <v>19.57500000000023</v>
      </c>
      <c r="AC30" s="13">
        <f>成本!AC13</f>
        <v>19.57500000000023</v>
      </c>
      <c r="AD30" s="31">
        <f>SUM(D30:AC30)</f>
        <v>19165.889536508213</v>
      </c>
    </row>
    <row r="31" spans="1:30" ht="18" customHeight="1" x14ac:dyDescent="0.3">
      <c r="A31" s="10" t="s">
        <v>212</v>
      </c>
      <c r="B31" s="11" t="s">
        <v>213</v>
      </c>
      <c r="C31" s="12"/>
      <c r="D31" s="12"/>
      <c r="E31" s="13">
        <f>E41</f>
        <v>212.71985450319949</v>
      </c>
      <c r="F31" s="13">
        <f t="shared" ref="F31:AC31" si="10">F41</f>
        <v>389.44419569206462</v>
      </c>
      <c r="G31" s="13">
        <f t="shared" si="10"/>
        <v>438.37769312864293</v>
      </c>
      <c r="H31" s="13">
        <f t="shared" si="10"/>
        <v>370.09065741951036</v>
      </c>
      <c r="I31" s="13">
        <f t="shared" si="10"/>
        <v>424.14887291184743</v>
      </c>
      <c r="J31" s="13">
        <f t="shared" si="10"/>
        <v>476.38796762083223</v>
      </c>
      <c r="K31" s="13">
        <f t="shared" si="10"/>
        <v>460.58083576513411</v>
      </c>
      <c r="L31" s="13">
        <f t="shared" si="10"/>
        <v>485.80192478291849</v>
      </c>
      <c r="M31" s="13">
        <f t="shared" si="10"/>
        <v>474.91429289282809</v>
      </c>
      <c r="N31" s="13">
        <f t="shared" si="10"/>
        <v>537.31700969181736</v>
      </c>
      <c r="O31" s="13">
        <f t="shared" si="10"/>
        <v>603.34606800890094</v>
      </c>
      <c r="P31" s="13">
        <f t="shared" si="10"/>
        <v>668.26571775048444</v>
      </c>
      <c r="Q31" s="13">
        <f t="shared" si="10"/>
        <v>742.06117480247963</v>
      </c>
      <c r="R31" s="13">
        <f t="shared" si="10"/>
        <v>820.01273579433587</v>
      </c>
      <c r="S31" s="13">
        <f t="shared" si="10"/>
        <v>786.88900573812498</v>
      </c>
      <c r="T31" s="13">
        <f t="shared" si="10"/>
        <v>863.63944173354776</v>
      </c>
      <c r="U31" s="13">
        <f t="shared" si="10"/>
        <v>858.15841534522497</v>
      </c>
      <c r="V31" s="13">
        <f t="shared" si="10"/>
        <v>837.16821963635346</v>
      </c>
      <c r="W31" s="13">
        <f t="shared" si="10"/>
        <v>821.58509733652284</v>
      </c>
      <c r="X31" s="13">
        <f t="shared" si="10"/>
        <v>806.00197503669244</v>
      </c>
      <c r="Y31" s="13">
        <f t="shared" si="10"/>
        <v>2093.6030061545603</v>
      </c>
      <c r="Z31" s="13">
        <f t="shared" si="10"/>
        <v>2077.3651256853968</v>
      </c>
      <c r="AA31" s="13">
        <f t="shared" si="10"/>
        <v>2061.1272452162334</v>
      </c>
      <c r="AB31" s="13">
        <f t="shared" si="10"/>
        <v>2038.9280663136008</v>
      </c>
      <c r="AC31" s="13">
        <f t="shared" si="10"/>
        <v>2022.6901858444378</v>
      </c>
      <c r="AD31" s="31">
        <f>SUM(F31:AC31)</f>
        <v>22157.904930302491</v>
      </c>
    </row>
    <row r="32" spans="1:30" ht="18" customHeight="1" x14ac:dyDescent="0.3">
      <c r="A32" s="10" t="s">
        <v>214</v>
      </c>
      <c r="B32" s="11" t="s">
        <v>195</v>
      </c>
      <c r="C32" s="12"/>
      <c r="D32" s="1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25"/>
      <c r="V32" s="25"/>
      <c r="W32" s="25"/>
      <c r="X32" s="25"/>
      <c r="Y32" s="25"/>
      <c r="Z32" s="25"/>
      <c r="AA32" s="25"/>
      <c r="AB32" s="25"/>
      <c r="AC32" s="25"/>
      <c r="AD32" s="31">
        <f>SUM(F32:AC32)</f>
        <v>0</v>
      </c>
    </row>
    <row r="33" spans="1:30" s="2" customFormat="1" ht="18" customHeight="1" x14ac:dyDescent="0.3">
      <c r="A33" s="6">
        <v>3</v>
      </c>
      <c r="B33" s="7" t="s">
        <v>215</v>
      </c>
      <c r="C33" s="8"/>
      <c r="D33" s="9">
        <f>D5+D17-D28</f>
        <v>0</v>
      </c>
      <c r="E33" s="9">
        <f>E5+E17-E28</f>
        <v>1118.2975794758213</v>
      </c>
      <c r="F33" s="9">
        <f t="shared" ref="F33:AC33" si="11">F5+F17-F28</f>
        <v>920.67588466535108</v>
      </c>
      <c r="G33" s="9">
        <f t="shared" si="11"/>
        <v>1160.1946103468599</v>
      </c>
      <c r="H33" s="9">
        <f t="shared" si="11"/>
        <v>690.21807105014886</v>
      </c>
      <c r="I33" s="9">
        <f t="shared" si="11"/>
        <v>921.73176726868769</v>
      </c>
      <c r="J33" s="9">
        <f t="shared" si="11"/>
        <v>479.92581843394237</v>
      </c>
      <c r="K33" s="9">
        <f t="shared" si="11"/>
        <v>689.79585464493175</v>
      </c>
      <c r="L33" s="9">
        <f>L5+L17-L28</f>
        <v>-349.96145496373265</v>
      </c>
      <c r="M33" s="9">
        <f t="shared" si="11"/>
        <v>-314.40551791050802</v>
      </c>
      <c r="N33" s="9">
        <f t="shared" si="11"/>
        <v>-797.84305038927141</v>
      </c>
      <c r="O33" s="9">
        <f t="shared" si="11"/>
        <v>-560.01171595006053</v>
      </c>
      <c r="P33" s="9">
        <f t="shared" si="11"/>
        <v>-1065.2957798603484</v>
      </c>
      <c r="Q33" s="9">
        <f t="shared" si="11"/>
        <v>-820.66204736966574</v>
      </c>
      <c r="R33" s="9">
        <f>R5+R17-R28</f>
        <v>-1354.5475994477565</v>
      </c>
      <c r="S33" s="9">
        <f t="shared" si="11"/>
        <v>-718.11241999439972</v>
      </c>
      <c r="T33" s="9">
        <f t="shared" si="11"/>
        <v>2130.5686357963668</v>
      </c>
      <c r="U33" s="9">
        <f>U5+U17-U28</f>
        <v>2959.0205075367717</v>
      </c>
      <c r="V33" s="9">
        <f t="shared" si="11"/>
        <v>2540.3205985190421</v>
      </c>
      <c r="W33" s="9">
        <f t="shared" si="11"/>
        <v>2954.8106494390195</v>
      </c>
      <c r="X33" s="9">
        <f t="shared" si="11"/>
        <v>2517.686638434926</v>
      </c>
      <c r="Y33" s="9">
        <f t="shared" si="11"/>
        <v>1034.9677777070879</v>
      </c>
      <c r="Z33" s="9">
        <f t="shared" si="11"/>
        <v>587.07538467511768</v>
      </c>
      <c r="AA33" s="9">
        <f t="shared" si="11"/>
        <v>1022.338315119961</v>
      </c>
      <c r="AB33" s="9">
        <f>AB5+AB17-AB28</f>
        <v>561.08819782040382</v>
      </c>
      <c r="AC33" s="9">
        <f t="shared" si="11"/>
        <v>1018.430011352167</v>
      </c>
      <c r="AD33" s="32">
        <f>SUM(F33:AC33)</f>
        <v>16208.009136925042</v>
      </c>
    </row>
    <row r="34" spans="1:30" s="2" customFormat="1" ht="18" customHeight="1" thickBot="1" x14ac:dyDescent="0.35">
      <c r="A34" s="17">
        <v>4</v>
      </c>
      <c r="B34" s="18" t="s">
        <v>216</v>
      </c>
      <c r="C34" s="19"/>
      <c r="D34" s="20">
        <f>D33</f>
        <v>0</v>
      </c>
      <c r="E34" s="20">
        <f t="shared" ref="E34:T34" si="12">D34+E33</f>
        <v>1118.2975794758213</v>
      </c>
      <c r="F34" s="20">
        <f t="shared" si="12"/>
        <v>2038.9734641411724</v>
      </c>
      <c r="G34" s="20">
        <f t="shared" si="12"/>
        <v>3199.1680744880323</v>
      </c>
      <c r="H34" s="20">
        <f t="shared" si="12"/>
        <v>3889.3861455381812</v>
      </c>
      <c r="I34" s="20">
        <f t="shared" si="12"/>
        <v>4811.1179128068688</v>
      </c>
      <c r="J34" s="20">
        <f t="shared" si="12"/>
        <v>5291.0437312408112</v>
      </c>
      <c r="K34" s="20">
        <f t="shared" si="12"/>
        <v>5980.839585885743</v>
      </c>
      <c r="L34" s="20">
        <f t="shared" si="12"/>
        <v>5630.8781309220103</v>
      </c>
      <c r="M34" s="20">
        <f t="shared" si="12"/>
        <v>5316.4726130115023</v>
      </c>
      <c r="N34" s="20">
        <f t="shared" si="12"/>
        <v>4518.6295626222309</v>
      </c>
      <c r="O34" s="20">
        <f t="shared" si="12"/>
        <v>3958.6178466721703</v>
      </c>
      <c r="P34" s="20">
        <f t="shared" si="12"/>
        <v>2893.322066811822</v>
      </c>
      <c r="Q34" s="20">
        <f t="shared" si="12"/>
        <v>2072.6600194421562</v>
      </c>
      <c r="R34" s="20">
        <f t="shared" si="12"/>
        <v>718.11241999439972</v>
      </c>
      <c r="S34" s="20">
        <f t="shared" si="12"/>
        <v>0</v>
      </c>
      <c r="T34" s="20">
        <f t="shared" si="12"/>
        <v>2130.5686357963668</v>
      </c>
      <c r="U34" s="20">
        <f t="shared" ref="U34:AC34" si="13">T34+U33</f>
        <v>5089.5891433331381</v>
      </c>
      <c r="V34" s="20">
        <f t="shared" si="13"/>
        <v>7629.9097418521796</v>
      </c>
      <c r="W34" s="20">
        <f t="shared" si="13"/>
        <v>10584.720391291199</v>
      </c>
      <c r="X34" s="20">
        <f t="shared" si="13"/>
        <v>13102.407029726124</v>
      </c>
      <c r="Y34" s="20">
        <f t="shared" si="13"/>
        <v>14137.374807433212</v>
      </c>
      <c r="Z34" s="20">
        <f t="shared" si="13"/>
        <v>14724.45019210833</v>
      </c>
      <c r="AA34" s="20">
        <f t="shared" si="13"/>
        <v>15746.788507228292</v>
      </c>
      <c r="AB34" s="20">
        <f t="shared" si="13"/>
        <v>16307.876705048695</v>
      </c>
      <c r="AC34" s="20">
        <f t="shared" si="13"/>
        <v>17326.306716400861</v>
      </c>
      <c r="AD34" s="33">
        <f>SUM(F34:AC34)</f>
        <v>167099.21344379551</v>
      </c>
    </row>
    <row r="36" spans="1:30" x14ac:dyDescent="0.3">
      <c r="B36" s="21"/>
      <c r="D36" s="26">
        <f>IF(+D28=0,0,IF(D28&gt;0,0))</f>
        <v>0</v>
      </c>
      <c r="E36" s="26">
        <f>IF(D28+E28=0,0,IF(E28&gt;0,0,#REF!+D28/#REF!))</f>
        <v>0</v>
      </c>
      <c r="F36" s="26">
        <f t="shared" ref="F36:N36" si="14">IF(E28+F28=0,0,IF(F28&gt;0,0,D4+E28/D28))</f>
        <v>0</v>
      </c>
      <c r="G36" s="26">
        <f t="shared" si="14"/>
        <v>0</v>
      </c>
      <c r="H36" s="26">
        <f t="shared" si="14"/>
        <v>0</v>
      </c>
      <c r="I36" s="26">
        <f t="shared" si="14"/>
        <v>0</v>
      </c>
      <c r="J36" s="26">
        <f t="shared" si="14"/>
        <v>0</v>
      </c>
      <c r="K36" s="26">
        <f t="shared" si="14"/>
        <v>0</v>
      </c>
      <c r="L36" s="26">
        <f t="shared" si="14"/>
        <v>0</v>
      </c>
      <c r="M36" s="26">
        <f t="shared" si="14"/>
        <v>0</v>
      </c>
      <c r="N36" s="26">
        <f t="shared" si="14"/>
        <v>0</v>
      </c>
      <c r="O36" s="26">
        <f>IF(N28+O28=0,0,IF(O28&gt;0,0,M4+N28/M28))</f>
        <v>0</v>
      </c>
      <c r="P36" s="26">
        <f t="shared" ref="P36:AC36" si="15">IF(O28+P28=0,0,IF(P28&gt;0,0,N4+O28/N28))</f>
        <v>0</v>
      </c>
      <c r="Q36" s="26">
        <f t="shared" si="15"/>
        <v>0</v>
      </c>
      <c r="R36" s="26">
        <f t="shared" si="15"/>
        <v>0</v>
      </c>
      <c r="S36" s="26">
        <f t="shared" si="15"/>
        <v>0</v>
      </c>
      <c r="T36" s="26">
        <f t="shared" si="15"/>
        <v>0</v>
      </c>
      <c r="U36" s="26" t="e">
        <f>IF(T28+U28=0,0,IF(U28&gt;0,0,S4+T28/S28))</f>
        <v>#DIV/0!</v>
      </c>
      <c r="V36" s="26">
        <f>IF(U28+V28=0,0,IF(V28&gt;0,0,T4+U28/T28))</f>
        <v>0</v>
      </c>
      <c r="W36" s="26">
        <f>IF(V28+W28=0,0,IF(W28&gt;0,0,U4+V28/U28))</f>
        <v>0</v>
      </c>
      <c r="X36" s="26">
        <f t="shared" si="15"/>
        <v>0</v>
      </c>
      <c r="Y36" s="26">
        <f t="shared" si="15"/>
        <v>0</v>
      </c>
      <c r="Z36" s="26">
        <f t="shared" si="15"/>
        <v>0</v>
      </c>
      <c r="AA36" s="26">
        <f t="shared" si="15"/>
        <v>0</v>
      </c>
      <c r="AB36" s="26">
        <f t="shared" si="15"/>
        <v>0</v>
      </c>
      <c r="AC36" s="26">
        <f t="shared" si="15"/>
        <v>0</v>
      </c>
      <c r="AD36" s="26" t="e">
        <f>IF(#REF!+AD28=0,0,IF(AD28&gt;0,0,X4+#REF!/X28))</f>
        <v>#REF!</v>
      </c>
    </row>
    <row r="37" spans="1:30" x14ac:dyDescent="0.3">
      <c r="E37" s="22"/>
    </row>
    <row r="38" spans="1:30" x14ac:dyDescent="0.3">
      <c r="B38" s="169" t="s">
        <v>247</v>
      </c>
      <c r="E38" s="168">
        <f>SUM(E25:E30)-E18</f>
        <v>4288.7471277329614</v>
      </c>
      <c r="F38" s="163">
        <f t="shared" ref="F38:AC38" si="16">SUM(F25:F30)</f>
        <v>4288.7471277329614</v>
      </c>
      <c r="G38" s="163">
        <f t="shared" si="16"/>
        <v>4288.7471277329614</v>
      </c>
      <c r="H38" s="163">
        <f t="shared" si="16"/>
        <v>4288.7471277329614</v>
      </c>
      <c r="I38" s="163">
        <f t="shared" si="16"/>
        <v>4288.7471277329614</v>
      </c>
      <c r="J38" s="163">
        <f t="shared" si="16"/>
        <v>4288.7471277329614</v>
      </c>
      <c r="K38" s="163">
        <f t="shared" si="16"/>
        <v>4288.7471277329614</v>
      </c>
      <c r="L38" s="163">
        <f t="shared" si="16"/>
        <v>4288.7471277329614</v>
      </c>
      <c r="M38" s="163">
        <f t="shared" si="16"/>
        <v>4288.7471277329614</v>
      </c>
      <c r="N38" s="163">
        <f t="shared" si="16"/>
        <v>4288.7471277329614</v>
      </c>
      <c r="O38" s="163">
        <f t="shared" si="16"/>
        <v>4288.7471277329623</v>
      </c>
      <c r="P38" s="163">
        <f t="shared" si="16"/>
        <v>4288.7471277329614</v>
      </c>
      <c r="Q38" s="163">
        <f t="shared" si="16"/>
        <v>4288.7471277329614</v>
      </c>
      <c r="R38" s="163">
        <f t="shared" si="16"/>
        <v>4288.7471277329614</v>
      </c>
      <c r="S38" s="163">
        <f t="shared" si="16"/>
        <v>4288.7471277329614</v>
      </c>
      <c r="T38" s="163">
        <f t="shared" si="16"/>
        <v>468.34201079852738</v>
      </c>
      <c r="U38" s="163">
        <f t="shared" si="16"/>
        <v>19.57500000000023</v>
      </c>
      <c r="V38" s="163">
        <f t="shared" si="16"/>
        <v>19.57500000000023</v>
      </c>
      <c r="W38" s="163">
        <f t="shared" si="16"/>
        <v>19.57500000000023</v>
      </c>
      <c r="X38" s="163">
        <f t="shared" si="16"/>
        <v>19.57500000000023</v>
      </c>
      <c r="Y38" s="163">
        <f t="shared" si="16"/>
        <v>19.57500000000023</v>
      </c>
      <c r="Z38" s="163">
        <f t="shared" si="16"/>
        <v>19.57500000000023</v>
      </c>
      <c r="AA38" s="163">
        <f t="shared" si="16"/>
        <v>19.57500000000023</v>
      </c>
      <c r="AB38" s="163">
        <f t="shared" si="16"/>
        <v>19.57500000000023</v>
      </c>
      <c r="AC38" s="163">
        <f t="shared" si="16"/>
        <v>19.57500000000023</v>
      </c>
    </row>
    <row r="39" spans="1:30" x14ac:dyDescent="0.3">
      <c r="B39" s="169" t="s">
        <v>248</v>
      </c>
      <c r="E39" s="163">
        <f>E5-E38</f>
        <v>1331.017433979021</v>
      </c>
      <c r="F39" s="163">
        <f t="shared" ref="F39:R39" si="17">F5-F38</f>
        <v>1310.1200803574156</v>
      </c>
      <c r="G39" s="163">
        <f t="shared" si="17"/>
        <v>1598.5723034755028</v>
      </c>
      <c r="H39" s="163">
        <f t="shared" si="17"/>
        <v>1060.3087284696594</v>
      </c>
      <c r="I39" s="163">
        <f t="shared" si="17"/>
        <v>1345.880640180535</v>
      </c>
      <c r="J39" s="163">
        <f t="shared" si="17"/>
        <v>956.31378605477494</v>
      </c>
      <c r="K39" s="163">
        <f t="shared" si="17"/>
        <v>1150.3766904100657</v>
      </c>
      <c r="L39" s="163">
        <f t="shared" si="17"/>
        <v>135.84046981918618</v>
      </c>
      <c r="M39" s="163">
        <f t="shared" si="17"/>
        <v>160.50877498231966</v>
      </c>
      <c r="N39" s="163">
        <f t="shared" si="17"/>
        <v>-260.52604069745394</v>
      </c>
      <c r="O39" s="163">
        <f t="shared" si="17"/>
        <v>43.334352058840523</v>
      </c>
      <c r="P39" s="163">
        <f t="shared" si="17"/>
        <v>-397.03006210986405</v>
      </c>
      <c r="Q39" s="163">
        <f t="shared" si="17"/>
        <v>-78.600872567186343</v>
      </c>
      <c r="R39" s="163">
        <f t="shared" si="17"/>
        <v>-534.53486365342087</v>
      </c>
      <c r="S39" s="163">
        <f t="shared" ref="S39:AC39" si="18">S5-S38</f>
        <v>-361.2828400334929</v>
      </c>
      <c r="T39" s="163">
        <f t="shared" si="18"/>
        <v>2994.2080775299146</v>
      </c>
      <c r="U39" s="163">
        <f t="shared" si="18"/>
        <v>3817.1789228819966</v>
      </c>
      <c r="V39" s="163">
        <f t="shared" si="18"/>
        <v>3377.4888181553956</v>
      </c>
      <c r="W39" s="163">
        <f t="shared" si="18"/>
        <v>3776.3957467755422</v>
      </c>
      <c r="X39" s="163">
        <f t="shared" si="18"/>
        <v>3323.6886134716183</v>
      </c>
      <c r="Y39" s="163">
        <f t="shared" si="18"/>
        <v>3128.5707838616481</v>
      </c>
      <c r="Z39" s="163">
        <f t="shared" si="18"/>
        <v>2664.4405103605145</v>
      </c>
      <c r="AA39" s="163">
        <f t="shared" si="18"/>
        <v>3083.4655603361944</v>
      </c>
      <c r="AB39" s="163">
        <f t="shared" si="18"/>
        <v>2600.0162641340044</v>
      </c>
      <c r="AC39" s="163">
        <f t="shared" si="18"/>
        <v>3041.1201971966047</v>
      </c>
    </row>
    <row r="40" spans="1:30" x14ac:dyDescent="0.3">
      <c r="B40" s="169" t="s">
        <v>246</v>
      </c>
      <c r="E40" s="3">
        <f>损益!G29*参数表!$C$70</f>
        <v>212.71985450319949</v>
      </c>
      <c r="F40" s="3">
        <f>损益!H29*参数表!$C$70</f>
        <v>389.44419569206462</v>
      </c>
      <c r="G40" s="3">
        <f>损益!I29*参数表!$C$70</f>
        <v>438.37769312864293</v>
      </c>
      <c r="H40" s="3">
        <f>损益!J29*参数表!$C$70</f>
        <v>370.09065741951036</v>
      </c>
      <c r="I40" s="3">
        <f>损益!K29*参数表!$C$70</f>
        <v>424.14887291184743</v>
      </c>
      <c r="J40" s="3">
        <f>损益!L29*参数表!$C$70</f>
        <v>476.38796762083223</v>
      </c>
      <c r="K40" s="3">
        <f>损益!M29*参数表!$C$70</f>
        <v>460.58083576513411</v>
      </c>
      <c r="L40" s="3">
        <f>损益!N29*参数表!$C$70</f>
        <v>485.80192478291849</v>
      </c>
      <c r="M40" s="3">
        <f>损益!O29*参数表!$C$70</f>
        <v>474.91429289282809</v>
      </c>
      <c r="N40" s="3">
        <f>损益!P29*参数表!$C$70</f>
        <v>537.31700969181736</v>
      </c>
      <c r="O40" s="3">
        <f>损益!Q29*参数表!$C$70</f>
        <v>603.34606800890094</v>
      </c>
      <c r="P40" s="3">
        <f>损益!R29*参数表!$C$70</f>
        <v>668.26571775048444</v>
      </c>
      <c r="Q40" s="3">
        <f>损益!S29*参数表!$C$70</f>
        <v>742.06117480247963</v>
      </c>
      <c r="R40" s="3">
        <f>损益!T29*参数表!$C$70</f>
        <v>820.01273579433587</v>
      </c>
      <c r="S40" s="3">
        <f>损益!U29*参数表!$C$70</f>
        <v>786.88900573812498</v>
      </c>
      <c r="T40" s="3">
        <f>损益!V29*参数表!$C$70</f>
        <v>863.63944173354776</v>
      </c>
      <c r="U40" s="3">
        <f>损益!W29*参数表!$C$70</f>
        <v>858.15841534522497</v>
      </c>
      <c r="V40" s="3">
        <f>损益!X29*参数表!$C$70</f>
        <v>837.16821963635346</v>
      </c>
      <c r="W40" s="3">
        <f>损益!Y29*参数表!$C$70</f>
        <v>821.58509733652284</v>
      </c>
      <c r="X40" s="3">
        <f>损益!Z29*参数表!$C$70</f>
        <v>806.00197503669244</v>
      </c>
      <c r="Y40" s="3">
        <f>损益!AA29*参数表!$C$70</f>
        <v>2093.6030061545603</v>
      </c>
      <c r="Z40" s="3">
        <f>损益!AB29*参数表!$C$70</f>
        <v>2077.3651256853968</v>
      </c>
      <c r="AA40" s="3">
        <f>损益!AC29*参数表!$C$70</f>
        <v>2061.1272452162334</v>
      </c>
      <c r="AB40" s="3">
        <f>损益!AD29*参数表!$C$70</f>
        <v>2038.9280663136008</v>
      </c>
      <c r="AC40" s="3">
        <f>损益!AE29*参数表!$C$70</f>
        <v>2022.6901858444378</v>
      </c>
    </row>
    <row r="41" spans="1:30" x14ac:dyDescent="0.3">
      <c r="B41" s="169" t="s">
        <v>249</v>
      </c>
      <c r="E41" s="163">
        <f>E40</f>
        <v>212.71985450319949</v>
      </c>
      <c r="F41" s="163">
        <f t="shared" ref="F41:S41" si="19">F40</f>
        <v>389.44419569206462</v>
      </c>
      <c r="G41" s="163">
        <f t="shared" si="19"/>
        <v>438.37769312864293</v>
      </c>
      <c r="H41" s="163">
        <f t="shared" si="19"/>
        <v>370.09065741951036</v>
      </c>
      <c r="I41" s="163">
        <f t="shared" si="19"/>
        <v>424.14887291184743</v>
      </c>
      <c r="J41" s="163">
        <f t="shared" si="19"/>
        <v>476.38796762083223</v>
      </c>
      <c r="K41" s="163">
        <f t="shared" si="19"/>
        <v>460.58083576513411</v>
      </c>
      <c r="L41" s="163">
        <f t="shared" si="19"/>
        <v>485.80192478291849</v>
      </c>
      <c r="M41" s="163">
        <f t="shared" si="19"/>
        <v>474.91429289282809</v>
      </c>
      <c r="N41" s="163">
        <f t="shared" si="19"/>
        <v>537.31700969181736</v>
      </c>
      <c r="O41" s="163">
        <f t="shared" si="19"/>
        <v>603.34606800890094</v>
      </c>
      <c r="P41" s="163">
        <f t="shared" si="19"/>
        <v>668.26571775048444</v>
      </c>
      <c r="Q41" s="163">
        <f t="shared" si="19"/>
        <v>742.06117480247963</v>
      </c>
      <c r="R41" s="163">
        <f t="shared" si="19"/>
        <v>820.01273579433587</v>
      </c>
      <c r="S41" s="163">
        <f t="shared" si="19"/>
        <v>786.88900573812498</v>
      </c>
      <c r="T41" s="163">
        <f t="shared" ref="T41:AC41" si="20">T40</f>
        <v>863.63944173354776</v>
      </c>
      <c r="U41" s="163">
        <f t="shared" si="20"/>
        <v>858.15841534522497</v>
      </c>
      <c r="V41" s="163">
        <f t="shared" si="20"/>
        <v>837.16821963635346</v>
      </c>
      <c r="W41" s="163">
        <f t="shared" si="20"/>
        <v>821.58509733652284</v>
      </c>
      <c r="X41" s="163">
        <f t="shared" si="20"/>
        <v>806.00197503669244</v>
      </c>
      <c r="Y41" s="163">
        <f t="shared" si="20"/>
        <v>2093.6030061545603</v>
      </c>
      <c r="Z41" s="163">
        <f t="shared" si="20"/>
        <v>2077.3651256853968</v>
      </c>
      <c r="AA41" s="163">
        <f t="shared" si="20"/>
        <v>2061.1272452162334</v>
      </c>
      <c r="AB41" s="163">
        <f t="shared" si="20"/>
        <v>2038.9280663136008</v>
      </c>
      <c r="AC41" s="163">
        <f t="shared" si="20"/>
        <v>2022.6901858444378</v>
      </c>
    </row>
    <row r="42" spans="1:30" x14ac:dyDescent="0.3">
      <c r="B42" s="169" t="s">
        <v>251</v>
      </c>
      <c r="E42" s="163">
        <f>E5+E17-E28</f>
        <v>1118.2975794758213</v>
      </c>
      <c r="F42" s="163">
        <f t="shared" ref="F42:AC42" si="21">F5+F17-F28</f>
        <v>920.67588466535108</v>
      </c>
      <c r="G42" s="163">
        <f t="shared" si="21"/>
        <v>1160.1946103468599</v>
      </c>
      <c r="H42" s="163">
        <f t="shared" si="21"/>
        <v>690.21807105014886</v>
      </c>
      <c r="I42" s="163">
        <f t="shared" si="21"/>
        <v>921.73176726868769</v>
      </c>
      <c r="J42" s="163">
        <f t="shared" si="21"/>
        <v>479.92581843394237</v>
      </c>
      <c r="K42" s="163">
        <f t="shared" si="21"/>
        <v>689.79585464493175</v>
      </c>
      <c r="L42" s="163">
        <f t="shared" si="21"/>
        <v>-349.96145496373265</v>
      </c>
      <c r="M42" s="163">
        <f t="shared" si="21"/>
        <v>-314.40551791050802</v>
      </c>
      <c r="N42" s="163">
        <f t="shared" si="21"/>
        <v>-797.84305038927141</v>
      </c>
      <c r="O42" s="163">
        <f t="shared" si="21"/>
        <v>-560.01171595006053</v>
      </c>
      <c r="P42" s="163">
        <f t="shared" si="21"/>
        <v>-1065.2957798603484</v>
      </c>
      <c r="Q42" s="163">
        <f t="shared" si="21"/>
        <v>-820.66204736966574</v>
      </c>
      <c r="R42" s="163">
        <f t="shared" si="21"/>
        <v>-1354.5475994477565</v>
      </c>
      <c r="S42" s="163">
        <f t="shared" si="21"/>
        <v>-718.11241999439972</v>
      </c>
      <c r="T42" s="163">
        <f t="shared" si="21"/>
        <v>2130.5686357963668</v>
      </c>
      <c r="U42" s="163">
        <f t="shared" si="21"/>
        <v>2959.0205075367717</v>
      </c>
      <c r="V42" s="163">
        <f t="shared" si="21"/>
        <v>2540.3205985190421</v>
      </c>
      <c r="W42" s="163">
        <f t="shared" si="21"/>
        <v>2954.8106494390195</v>
      </c>
      <c r="X42" s="163">
        <f t="shared" si="21"/>
        <v>2517.686638434926</v>
      </c>
      <c r="Y42" s="163">
        <f t="shared" si="21"/>
        <v>1034.9677777070879</v>
      </c>
      <c r="Z42" s="163">
        <f t="shared" si="21"/>
        <v>587.07538467511768</v>
      </c>
      <c r="AA42" s="163">
        <f t="shared" si="21"/>
        <v>1022.338315119961</v>
      </c>
      <c r="AB42" s="163">
        <f t="shared" si="21"/>
        <v>561.08819782040382</v>
      </c>
      <c r="AC42" s="163">
        <f t="shared" si="21"/>
        <v>1018.430011352167</v>
      </c>
    </row>
  </sheetData>
  <mergeCells count="5">
    <mergeCell ref="A1:T1"/>
    <mergeCell ref="E3:AC3"/>
    <mergeCell ref="A3:A4"/>
    <mergeCell ref="B3:B4"/>
    <mergeCell ref="C3:C4"/>
  </mergeCells>
  <phoneticPr fontId="61" type="noConversion"/>
  <pageMargins left="0.69930555555555551" right="0.69930555555555551" top="0.75" bottom="0.75" header="0.3" footer="0.3"/>
  <pageSetup paperSize="9" orientation="portrait" horizontalDpi="300" verticalDpi="300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7A7D-4AF3-44FF-9665-2350A84144D0}">
  <dimension ref="A1:AE31"/>
  <sheetViews>
    <sheetView topLeftCell="A10" workbookViewId="0">
      <selection activeCell="G27" sqref="G27"/>
    </sheetView>
  </sheetViews>
  <sheetFormatPr defaultRowHeight="15" x14ac:dyDescent="0.3"/>
  <cols>
    <col min="1" max="1" width="31.85546875" bestFit="1" customWidth="1"/>
    <col min="2" max="2" width="12.85546875" bestFit="1" customWidth="1"/>
    <col min="3" max="3" width="12.7109375" bestFit="1" customWidth="1"/>
    <col min="4" max="6" width="10.7109375" bestFit="1" customWidth="1"/>
    <col min="7" max="7" width="10.5703125" bestFit="1" customWidth="1"/>
    <col min="8" max="9" width="10.7109375" bestFit="1" customWidth="1"/>
    <col min="10" max="10" width="14" bestFit="1" customWidth="1"/>
    <col min="11" max="11" width="10.5703125" bestFit="1" customWidth="1"/>
    <col min="12" max="13" width="10.5" bestFit="1" customWidth="1"/>
    <col min="14" max="14" width="10.85546875" bestFit="1" customWidth="1"/>
    <col min="15" max="27" width="9.5" bestFit="1" customWidth="1"/>
  </cols>
  <sheetData>
    <row r="1" spans="1:28" x14ac:dyDescent="0.3">
      <c r="A1" s="159" t="s">
        <v>256</v>
      </c>
      <c r="B1" s="172">
        <f>参数表!C71</f>
        <v>8.5000000000000006E-2</v>
      </c>
    </row>
    <row r="2" spans="1:28" x14ac:dyDescent="0.3"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</row>
    <row r="3" spans="1:28" x14ac:dyDescent="0.3">
      <c r="A3" s="572" t="s">
        <v>217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4"/>
    </row>
    <row r="4" spans="1:28" x14ac:dyDescent="0.3">
      <c r="A4" s="149" t="s">
        <v>222</v>
      </c>
      <c r="B4" s="148">
        <v>1</v>
      </c>
      <c r="C4" s="148">
        <v>2</v>
      </c>
      <c r="D4" s="148">
        <v>3</v>
      </c>
      <c r="E4" s="148">
        <v>4</v>
      </c>
      <c r="F4" s="148">
        <v>5</v>
      </c>
      <c r="G4" s="148">
        <v>6</v>
      </c>
      <c r="H4" s="148">
        <v>7</v>
      </c>
      <c r="I4" s="148">
        <v>8</v>
      </c>
      <c r="J4" s="148">
        <v>9</v>
      </c>
      <c r="K4" s="148">
        <v>10</v>
      </c>
      <c r="L4" s="148">
        <v>11</v>
      </c>
      <c r="M4" s="148">
        <v>12</v>
      </c>
      <c r="N4" s="148">
        <v>13</v>
      </c>
      <c r="O4" s="148">
        <v>14</v>
      </c>
      <c r="P4" s="148">
        <v>15</v>
      </c>
      <c r="Q4" s="148">
        <v>16</v>
      </c>
      <c r="R4" s="148">
        <v>17</v>
      </c>
      <c r="S4" s="148">
        <v>18</v>
      </c>
      <c r="T4" s="148">
        <v>19</v>
      </c>
      <c r="U4" s="148">
        <v>20</v>
      </c>
      <c r="V4" s="148">
        <v>21</v>
      </c>
      <c r="W4" s="148">
        <v>22</v>
      </c>
      <c r="X4" s="148">
        <v>23</v>
      </c>
      <c r="Y4" s="148">
        <v>24</v>
      </c>
      <c r="Z4" s="148">
        <v>25</v>
      </c>
    </row>
    <row r="5" spans="1:28" s="34" customFormat="1" ht="14.15" x14ac:dyDescent="0.3">
      <c r="A5" s="150" t="s">
        <v>218</v>
      </c>
      <c r="B5" s="151">
        <f>现金流量!E59</f>
        <v>1331.017433979021</v>
      </c>
      <c r="C5" s="151">
        <f>现金流量!F59</f>
        <v>1310.1200803574166</v>
      </c>
      <c r="D5" s="151">
        <f>现金流量!G59</f>
        <v>1598.5723034755028</v>
      </c>
      <c r="E5" s="151">
        <f>现金流量!H59</f>
        <v>1060.3087284696594</v>
      </c>
      <c r="F5" s="151">
        <f>现金流量!I59</f>
        <v>1345.880640180535</v>
      </c>
      <c r="G5" s="151">
        <f>现金流量!J59</f>
        <v>956.31378605477494</v>
      </c>
      <c r="H5" s="151">
        <f>现金流量!K59</f>
        <v>1150.3766904100657</v>
      </c>
      <c r="I5" s="151">
        <f>现金流量!L59</f>
        <v>135.84046981918436</v>
      </c>
      <c r="J5" s="151">
        <f>现金流量!M59</f>
        <v>160.50877498231966</v>
      </c>
      <c r="K5" s="151">
        <f>现金流量!N59</f>
        <v>-260.52604069745394</v>
      </c>
      <c r="L5" s="151">
        <f>现金流量!O59</f>
        <v>43.334352058839613</v>
      </c>
      <c r="M5" s="151">
        <f>现金流量!P59</f>
        <v>-397.03006210986405</v>
      </c>
      <c r="N5" s="151">
        <f>现金流量!Q59</f>
        <v>-78.600872567186343</v>
      </c>
      <c r="O5" s="151">
        <f>现金流量!R59</f>
        <v>-534.53486365342087</v>
      </c>
      <c r="P5" s="151">
        <f>现金流量!S59</f>
        <v>68.776585743725263</v>
      </c>
      <c r="Q5" s="151">
        <f>现金流量!T59</f>
        <v>2994.208077529915</v>
      </c>
      <c r="R5" s="151">
        <f>现金流量!U59</f>
        <v>3817.1789228819966</v>
      </c>
      <c r="S5" s="151">
        <f>现金流量!V59</f>
        <v>3377.4888181553956</v>
      </c>
      <c r="T5" s="151">
        <f>现金流量!W59</f>
        <v>3776.3957467755422</v>
      </c>
      <c r="U5" s="151">
        <f>现金流量!X59</f>
        <v>3323.6886134716187</v>
      </c>
      <c r="V5" s="151">
        <f>现金流量!Y59</f>
        <v>3128.5707838616481</v>
      </c>
      <c r="W5" s="151">
        <f>现金流量!Z59</f>
        <v>2664.4405103605141</v>
      </c>
      <c r="X5" s="151">
        <f>现金流量!AA59</f>
        <v>3083.4655603361944</v>
      </c>
      <c r="Y5" s="151">
        <f>现金流量!AB59</f>
        <v>2600.0162641340039</v>
      </c>
      <c r="Z5" s="151">
        <f>现金流量!AC59</f>
        <v>5715.0351382359368</v>
      </c>
      <c r="AA5" s="72"/>
      <c r="AB5" s="72"/>
    </row>
    <row r="6" spans="1:28" s="34" customFormat="1" ht="14.15" x14ac:dyDescent="0.3">
      <c r="A6" s="150" t="s">
        <v>219</v>
      </c>
      <c r="B6" s="151">
        <f>B5*(1+参数表!$C$71)^(现金流量!$AC$4-现金流量!E$4)</f>
        <v>9429.6909736514208</v>
      </c>
      <c r="C6" s="151">
        <f>C5*(1+参数表!$C$71)^(现金流量!$AC$4-现金流量!F$4)</f>
        <v>8554.508879150193</v>
      </c>
      <c r="D6" s="151">
        <f>D5*(1+参数表!$C$71)^(现金流量!$AC$4-现金流量!G$4)</f>
        <v>9620.2536801258575</v>
      </c>
      <c r="E6" s="151">
        <f>E5*(1+参数表!$C$71)^(现金流量!$AC$4-现金流量!H$4)</f>
        <v>5881.0766320129042</v>
      </c>
      <c r="F6" s="151">
        <f>F5*(1+参数表!$C$71)^(现金流量!$AC$4-现金流量!I$4)</f>
        <v>6880.2039108424524</v>
      </c>
      <c r="G6" s="151">
        <f>G5*(1+参数表!$C$71)^(现金流量!$AC$4-现金流量!J$4)</f>
        <v>4505.7328884115996</v>
      </c>
      <c r="H6" s="151">
        <f>H5*(1+参数表!$C$71)^(现金流量!$AC$4-现金流量!K$4)</f>
        <v>4995.4585589581293</v>
      </c>
      <c r="I6" s="151">
        <f>I5*(1+参数表!$C$71)^(现金流量!$AC$4-现金流量!L$4)</f>
        <v>543.66919260067596</v>
      </c>
      <c r="J6" s="151">
        <f>J5*(1+参数表!$C$71)^(现金流量!$AC$4-现金流量!M$4)</f>
        <v>592.07209273686908</v>
      </c>
      <c r="K6" s="151">
        <f>K5*(1+参数表!$C$71)^(现金流量!$AC$4-现金流量!N$4)</f>
        <v>-885.72155160862826</v>
      </c>
      <c r="L6" s="151">
        <f>L5*(1+参数表!$C$71)^(现金流量!$AC$4-现金流量!O$4)</f>
        <v>135.78401365932439</v>
      </c>
      <c r="M6" s="151">
        <f>M5*(1+参数表!$C$71)^(现金流量!$AC$4-现金流量!P$4)</f>
        <v>-1146.5948534357613</v>
      </c>
      <c r="N6" s="151">
        <f>N5*(1+参数表!$C$71)^(现金流量!$AC$4-现金流量!Q$4)</f>
        <v>-209.21086036759098</v>
      </c>
      <c r="O6" s="151">
        <f>O5*(1+参数表!$C$71)^(现金流量!$AC$4-现金流量!R$4)</f>
        <v>-1311.3033062950556</v>
      </c>
      <c r="P6" s="151">
        <f>P5*(1+参数表!$C$71)^(现金流量!$AC$4-现金流量!S$4)</f>
        <v>155.50272155817743</v>
      </c>
      <c r="Q6" s="151">
        <f>Q5*(1+参数表!$C$71)^(现金流量!$AC$4-现金流量!T$4)</f>
        <v>6239.497589816192</v>
      </c>
      <c r="R6" s="151">
        <f>R5*(1+参数表!$C$71)^(现金流量!$AC$4-现金流量!U$4)</f>
        <v>7331.2903985834628</v>
      </c>
      <c r="S6" s="151">
        <f>S5*(1+参数表!$C$71)^(现金流量!$AC$4-现金流量!V$4)</f>
        <v>5978.6356461076357</v>
      </c>
      <c r="T6" s="151">
        <f>T5*(1+参数表!$C$71)^(现金流量!$AC$4-现金流量!W$4)</f>
        <v>6161.0669613981963</v>
      </c>
      <c r="U6" s="151">
        <f>U5*(1+参数表!$C$71)^(现金流量!$AC$4-现金流量!X$4)</f>
        <v>4997.686619715455</v>
      </c>
      <c r="V6" s="151">
        <f>V5*(1+参数表!$C$71)^(现金流量!$AC$4-现金流量!Y$4)</f>
        <v>4335.7570413358408</v>
      </c>
      <c r="W6" s="151">
        <f>W5*(1+参数表!$C$71)^(现金流量!$AC$4-现金流量!Z$4)</f>
        <v>3403.2608880929347</v>
      </c>
      <c r="X6" s="151">
        <f>X5*(1+参数表!$C$71)^(现金流量!$AC$4-现金流量!AA$4)</f>
        <v>3629.9327442667764</v>
      </c>
      <c r="Y6" s="151">
        <f>Y5*(1+参数表!$C$71)^(现金流量!$AC$4-现金流量!AB$4)</f>
        <v>2821.0176465853942</v>
      </c>
      <c r="Z6" s="151">
        <f>Z5*(1+参数表!$C$71)^(现金流量!$AC$4-现金流量!AC$4)</f>
        <v>5715.0351382359368</v>
      </c>
      <c r="AA6" s="72"/>
      <c r="AB6" s="72"/>
    </row>
    <row r="7" spans="1:28" s="34" customFormat="1" ht="14.15" x14ac:dyDescent="0.3">
      <c r="A7" s="150" t="s">
        <v>224</v>
      </c>
      <c r="B7" s="151">
        <f>SUM(B6:$Z6)/(1+参数表!$C$71)^(现金流量!$AC4-现金流量!E4+1)</f>
        <v>12795.283513876013</v>
      </c>
      <c r="C7" s="151">
        <f>SUM(C6:$Z6)/(1+参数表!$C$71)^(现金流量!$AC4-现金流量!F4)</f>
        <v>13618.773718755447</v>
      </c>
      <c r="D7" s="151">
        <f>SUM(D6:$Z6)/(1+参数表!$C$71)^(现金流量!$AC4-现金流量!G4)</f>
        <v>13354.889197661863</v>
      </c>
      <c r="E7" s="151">
        <f>SUM(E6:$Z6)/(1+参数表!$C$71)^(现金流量!$AC4-现金流量!H4)</f>
        <v>12755.603830192202</v>
      </c>
      <c r="F7" s="151">
        <f>SUM(F6:$Z6)/(1+参数表!$C$71)^(现金流量!$AC4-现金流量!I4)</f>
        <v>12689.39518536896</v>
      </c>
      <c r="G7" s="151">
        <f>SUM(G6:$Z6)/(1+参数表!$C$71)^(现金流量!$AC4-现金流量!J4)</f>
        <v>12307.713281529437</v>
      </c>
      <c r="H7" s="151">
        <f>SUM(H6:$Z6)/(1+参数表!$C$71)^(现金流量!$AC4-现金流量!K4)</f>
        <v>12316.268452590009</v>
      </c>
      <c r="I7" s="151">
        <f>SUM(I6:$Z6)/(1+参数表!$C$71)^(现金流量!$AC4-现金流量!L4)</f>
        <v>12114.99256196524</v>
      </c>
      <c r="J7" s="151">
        <f>SUM(J6:$Z6)/(1+参数表!$C$71)^(现金流量!$AC4-现金流量!M4)</f>
        <v>12997.380019978471</v>
      </c>
      <c r="K7" s="151">
        <f>SUM(K6:$Z6)/(1+参数表!$C$71)^(现金流量!$AC4-现金流量!N4)</f>
        <v>13928.005300820823</v>
      </c>
      <c r="L7" s="151">
        <f>SUM(L6:$Z6)/(1+参数表!$C$71)^(现金流量!$AC4-现金流量!O4)</f>
        <v>15394.556505547331</v>
      </c>
      <c r="M7" s="151">
        <f>SUM(M6:$Z6)/(1+参数表!$C$71)^(现金流量!$AC4-现金流量!P4)</f>
        <v>16656.076036535014</v>
      </c>
      <c r="N7" s="151">
        <f>SUM(N6:$Z6)/(1+参数表!$C$71)^(现金流量!$AC4-现金流量!Q4)</f>
        <v>18502.620117029692</v>
      </c>
      <c r="O7" s="151">
        <f>SUM(O6:$Z6)/(1+参数表!$C$71)^(现金流量!$AC4-现金流量!R4)</f>
        <v>20160.624773712607</v>
      </c>
      <c r="P7" s="151">
        <f>SUM(P6:$Z6)/(1+参数表!$C$71)^(现金流量!$AC4-现金流量!S4)</f>
        <v>22454.248206542143</v>
      </c>
      <c r="Q7" s="151">
        <f>SUM(Q6:$Z6)/(1+参数表!$C$71)^(现金流量!$AC4-现金流量!T4)</f>
        <v>24288.236708566281</v>
      </c>
      <c r="R7" s="151">
        <f>SUM(R6:$Z6)/(1+参数表!$C$71)^(现金流量!$AC4-现金流量!U4)</f>
        <v>23104.02106467446</v>
      </c>
      <c r="S7" s="151">
        <f>SUM(S6:$Z6)/(1+参数表!$C$71)^(现金流量!$AC4-现金流量!V4)</f>
        <v>20926.223723844818</v>
      </c>
      <c r="T7" s="151">
        <f>SUM(T6:$Z6)/(1+参数表!$C$71)^(现金流量!$AC4-现金流量!W4)</f>
        <v>19040.377372673025</v>
      </c>
      <c r="U7" s="151">
        <f>SUM(U6:$Z6)/(1+参数表!$C$71)^(现金流量!$AC4-现金流量!X4)</f>
        <v>16561.420064098766</v>
      </c>
      <c r="V7" s="151">
        <f>SUM(V6:$Z6)/(1+参数表!$C$71)^(现金流量!$AC4-现金流量!Y4)</f>
        <v>14362.938623930455</v>
      </c>
      <c r="W7" s="151">
        <f>SUM(W6:$Z6)/(1+参数表!$C$71)^(现金流量!$AC4-现金流量!Z4)</f>
        <v>12189.289106474655</v>
      </c>
      <c r="X7" s="151">
        <f>SUM(X6:$Z6)/(1+参数表!$C$71)^(现金流量!$AC4-现金流量!AA4)</f>
        <v>10334.460726783842</v>
      </c>
      <c r="Y7" s="151">
        <f>SUM(Y6:$Z6)/(1+参数表!$C$71)^(现金流量!$AC4-现金流量!AB4)</f>
        <v>7867.3297555956979</v>
      </c>
      <c r="Z7" s="151">
        <f>SUM(Z6:$Z6)/(1+参数表!$C$71)^(现金流量!$AC4-现金流量!AC4)</f>
        <v>5715.0351382359368</v>
      </c>
      <c r="AA7" s="72"/>
      <c r="AB7" s="72"/>
    </row>
    <row r="8" spans="1:28" s="34" customFormat="1" ht="14.15" x14ac:dyDescent="0.3">
      <c r="A8" s="152" t="s">
        <v>245</v>
      </c>
      <c r="B8" s="154">
        <f t="shared" ref="B8:Z8" si="0">B7</f>
        <v>12795.283513876013</v>
      </c>
      <c r="C8" s="154">
        <f t="shared" si="0"/>
        <v>13618.773718755447</v>
      </c>
      <c r="D8" s="154">
        <f t="shared" si="0"/>
        <v>13354.889197661863</v>
      </c>
      <c r="E8" s="154">
        <f t="shared" si="0"/>
        <v>12755.603830192202</v>
      </c>
      <c r="F8" s="154">
        <f t="shared" si="0"/>
        <v>12689.39518536896</v>
      </c>
      <c r="G8" s="154">
        <f t="shared" si="0"/>
        <v>12307.713281529437</v>
      </c>
      <c r="H8" s="154">
        <f t="shared" si="0"/>
        <v>12316.268452590009</v>
      </c>
      <c r="I8" s="154">
        <f t="shared" si="0"/>
        <v>12114.99256196524</v>
      </c>
      <c r="J8" s="154">
        <f t="shared" si="0"/>
        <v>12997.380019978471</v>
      </c>
      <c r="K8" s="154">
        <f t="shared" si="0"/>
        <v>13928.005300820823</v>
      </c>
      <c r="L8" s="154">
        <f t="shared" si="0"/>
        <v>15394.556505547331</v>
      </c>
      <c r="M8" s="154">
        <f t="shared" si="0"/>
        <v>16656.076036535014</v>
      </c>
      <c r="N8" s="154">
        <f t="shared" si="0"/>
        <v>18502.620117029692</v>
      </c>
      <c r="O8" s="154">
        <f t="shared" si="0"/>
        <v>20160.624773712607</v>
      </c>
      <c r="P8" s="154">
        <f t="shared" si="0"/>
        <v>22454.248206542143</v>
      </c>
      <c r="Q8" s="154">
        <f t="shared" si="0"/>
        <v>24288.236708566281</v>
      </c>
      <c r="R8" s="154">
        <f t="shared" si="0"/>
        <v>23104.02106467446</v>
      </c>
      <c r="S8" s="154">
        <f t="shared" si="0"/>
        <v>20926.223723844818</v>
      </c>
      <c r="T8" s="154">
        <f t="shared" si="0"/>
        <v>19040.377372673025</v>
      </c>
      <c r="U8" s="154">
        <f t="shared" si="0"/>
        <v>16561.420064098766</v>
      </c>
      <c r="V8" s="154">
        <f t="shared" si="0"/>
        <v>14362.938623930455</v>
      </c>
      <c r="W8" s="154">
        <f t="shared" si="0"/>
        <v>12189.289106474655</v>
      </c>
      <c r="X8" s="154">
        <f t="shared" si="0"/>
        <v>10334.460726783842</v>
      </c>
      <c r="Y8" s="154">
        <f t="shared" si="0"/>
        <v>7867.3297555956979</v>
      </c>
      <c r="Z8" s="154">
        <f t="shared" si="0"/>
        <v>5715.0351382359368</v>
      </c>
      <c r="AA8" s="72"/>
      <c r="AB8" s="72"/>
    </row>
    <row r="9" spans="1:28" s="34" customFormat="1" ht="14.15" x14ac:dyDescent="0.3">
      <c r="A9" s="150" t="s">
        <v>252</v>
      </c>
      <c r="B9" s="154">
        <f>MAX((B8-B14)*参数表!$C$72,0)</f>
        <v>200.67596591236978</v>
      </c>
      <c r="C9" s="154">
        <f>MAX((C8-C14)*参数表!$C$72,0)</f>
        <v>324.19949664428486</v>
      </c>
      <c r="D9" s="154">
        <f>MAX((D8-D14)*参数表!$C$72,0)</f>
        <v>284.61681848024733</v>
      </c>
      <c r="E9" s="154">
        <f>MAX((E8-E14)*参数表!$C$72,0)</f>
        <v>194.72401335979811</v>
      </c>
      <c r="F9" s="154">
        <f>MAX((F8-F14)*参数表!$C$72,0)</f>
        <v>184.79271663631178</v>
      </c>
      <c r="G9" s="154">
        <f>MAX((G8-G14)*参数表!$C$72,0)</f>
        <v>127.54043106038343</v>
      </c>
      <c r="H9" s="154">
        <f>MAX((H8-H14)*参数表!$C$72,0)</f>
        <v>128.82370671946927</v>
      </c>
      <c r="I9" s="154">
        <f>MAX((I8-I14)*参数表!$C$72,0)</f>
        <v>98.632323125753913</v>
      </c>
      <c r="J9" s="154">
        <f>MAX((J8-J14)*参数表!$C$72,0)</f>
        <v>230.99044182773849</v>
      </c>
      <c r="K9" s="154">
        <f>MAX((K8-K14)*参数表!$C$72,0)</f>
        <v>370.58423395409136</v>
      </c>
      <c r="L9" s="154">
        <f>MAX((L8-L14)*参数表!$C$72,0)</f>
        <v>590.56691466306745</v>
      </c>
      <c r="M9" s="154">
        <f>MAX((M8-M14)*参数表!$C$72,0)</f>
        <v>779.79484431122</v>
      </c>
      <c r="N9" s="154">
        <f>MAX((N8-N14)*参数表!$C$72,0)</f>
        <v>1056.7764563854216</v>
      </c>
      <c r="O9" s="154">
        <f>MAX((O8-O14)*参数表!$C$72,0)</f>
        <v>1305.4771548878589</v>
      </c>
      <c r="P9" s="154">
        <f>MAX((P8-P14)*参数表!$C$72,0)</f>
        <v>1649.5206698122893</v>
      </c>
      <c r="Q9" s="154">
        <f>MAX((Q8-Q14)*参数表!$C$72,0)</f>
        <v>1924.6189451159098</v>
      </c>
      <c r="R9" s="154">
        <f>MAX((R8-R14)*参数表!$C$72,0)</f>
        <v>1746.9865985321369</v>
      </c>
      <c r="S9" s="154">
        <f>MAX((S8-S14)*参数表!$C$72,0)</f>
        <v>1420.3169974076905</v>
      </c>
      <c r="T9" s="154">
        <f>MAX((T8-T14)*参数表!$C$72,0)</f>
        <v>1137.4400447319215</v>
      </c>
      <c r="U9" s="154">
        <f>MAX((U8-U14)*参数表!$C$72,0)</f>
        <v>765.5964484457827</v>
      </c>
      <c r="V9" s="154">
        <f>MAX((V8-V14)*参数表!$C$72,0)</f>
        <v>435.82423242053608</v>
      </c>
      <c r="W9" s="154">
        <f>MAX((W8-W14)*参数表!$C$72,0)</f>
        <v>109.77680480216604</v>
      </c>
      <c r="X9" s="154">
        <f>MAX((X8-X14)*参数表!$C$72,0)</f>
        <v>0</v>
      </c>
      <c r="Y9" s="154">
        <f>MAX((Y8-Y14)*参数表!$C$72,0)</f>
        <v>0</v>
      </c>
      <c r="Z9" s="154">
        <f>MAX((Z8-Z14)*参数表!$C$72,0)</f>
        <v>0</v>
      </c>
      <c r="AA9" s="72"/>
      <c r="AB9" s="72"/>
    </row>
    <row r="10" spans="1:28" s="34" customFormat="1" ht="14.15" x14ac:dyDescent="0.3">
      <c r="A10" s="150" t="s">
        <v>253</v>
      </c>
      <c r="B10" s="154">
        <f t="shared" ref="B10:Z10" si="1">B16*0.05%</f>
        <v>6.412413969056284</v>
      </c>
      <c r="C10" s="154">
        <f t="shared" si="1"/>
        <v>6.8512038073079502</v>
      </c>
      <c r="D10" s="154">
        <f t="shared" si="1"/>
        <v>6.7497044421173147</v>
      </c>
      <c r="E10" s="154">
        <f t="shared" si="1"/>
        <v>6.4757624984810604</v>
      </c>
      <c r="F10" s="154">
        <f t="shared" si="1"/>
        <v>6.4721129589105395</v>
      </c>
      <c r="G10" s="154">
        <f t="shared" si="1"/>
        <v>6.3143545047422247</v>
      </c>
      <c r="H10" s="154">
        <f t="shared" si="1"/>
        <v>6.3506168705339787</v>
      </c>
      <c r="I10" s="154">
        <f t="shared" si="1"/>
        <v>6.2837151699981861</v>
      </c>
      <c r="J10" s="154">
        <f t="shared" si="1"/>
        <v>6.7578890582334701</v>
      </c>
      <c r="K10" s="154">
        <f t="shared" si="1"/>
        <v>7.2605153798832447</v>
      </c>
      <c r="L10" s="154">
        <f t="shared" si="1"/>
        <v>8.035690014747118</v>
      </c>
      <c r="M10" s="154">
        <f t="shared" si="1"/>
        <v>8.7128571217514086</v>
      </c>
      <c r="N10" s="154">
        <f t="shared" si="1"/>
        <v>9.6876611880266967</v>
      </c>
      <c r="O10" s="154">
        <f t="shared" si="1"/>
        <v>10.573608845242761</v>
      </c>
      <c r="P10" s="154">
        <f t="shared" si="1"/>
        <v>11.775065631500455</v>
      </c>
      <c r="Q10" s="154">
        <f t="shared" si="1"/>
        <v>12.752034843744021</v>
      </c>
      <c r="R10" s="154">
        <f t="shared" si="1"/>
        <v>12.219521356197083</v>
      </c>
      <c r="S10" s="154">
        <f t="shared" si="1"/>
        <v>11.188759367701454</v>
      </c>
      <c r="T10" s="154">
        <f t="shared" si="1"/>
        <v>10.302890712763928</v>
      </c>
      <c r="U10" s="154">
        <f t="shared" si="1"/>
        <v>9.1193844178543468</v>
      </c>
      <c r="V10" s="154">
        <f t="shared" si="1"/>
        <v>8.1655327954198125</v>
      </c>
      <c r="W10" s="154">
        <f t="shared" si="1"/>
        <v>7.222969503753399</v>
      </c>
      <c r="X10" s="154">
        <f t="shared" si="1"/>
        <v>6.4386891503813413</v>
      </c>
      <c r="Y10" s="154">
        <f t="shared" si="1"/>
        <v>5.3467158916146031</v>
      </c>
      <c r="Z10" s="154">
        <f t="shared" si="1"/>
        <v>4.411033179173919</v>
      </c>
      <c r="AA10" s="72"/>
      <c r="AB10" s="72"/>
    </row>
    <row r="11" spans="1:28" s="34" customFormat="1" ht="14.15" x14ac:dyDescent="0.3">
      <c r="A11" s="150" t="s">
        <v>254</v>
      </c>
      <c r="B11" s="154">
        <f t="shared" ref="B11:Z11" si="2">B8-B9-B10</f>
        <v>12588.195133994588</v>
      </c>
      <c r="C11" s="154">
        <f t="shared" si="2"/>
        <v>13287.723018303854</v>
      </c>
      <c r="D11" s="154">
        <f t="shared" si="2"/>
        <v>13063.522674739497</v>
      </c>
      <c r="E11" s="154">
        <f t="shared" si="2"/>
        <v>12554.404054333922</v>
      </c>
      <c r="F11" s="154">
        <f t="shared" si="2"/>
        <v>12498.130355773737</v>
      </c>
      <c r="G11" s="154">
        <f t="shared" si="2"/>
        <v>12173.858495964312</v>
      </c>
      <c r="H11" s="154">
        <f t="shared" si="2"/>
        <v>12181.094129000006</v>
      </c>
      <c r="I11" s="154">
        <f t="shared" si="2"/>
        <v>12010.076523669488</v>
      </c>
      <c r="J11" s="154">
        <f t="shared" si="2"/>
        <v>12759.631689092499</v>
      </c>
      <c r="K11" s="154">
        <f t="shared" si="2"/>
        <v>13550.16055148685</v>
      </c>
      <c r="L11" s="154">
        <f t="shared" si="2"/>
        <v>14795.953900869516</v>
      </c>
      <c r="M11" s="154">
        <f t="shared" si="2"/>
        <v>15867.568335102043</v>
      </c>
      <c r="N11" s="154">
        <f t="shared" si="2"/>
        <v>17436.155999456245</v>
      </c>
      <c r="O11" s="154">
        <f t="shared" si="2"/>
        <v>18844.574009979504</v>
      </c>
      <c r="P11" s="154">
        <f t="shared" si="2"/>
        <v>20792.952471098353</v>
      </c>
      <c r="Q11" s="154">
        <f t="shared" si="2"/>
        <v>22350.865728606626</v>
      </c>
      <c r="R11" s="154">
        <f t="shared" si="2"/>
        <v>21344.814944786125</v>
      </c>
      <c r="S11" s="154">
        <f t="shared" si="2"/>
        <v>19494.717967069424</v>
      </c>
      <c r="T11" s="154">
        <f t="shared" si="2"/>
        <v>17892.634437228342</v>
      </c>
      <c r="U11" s="154">
        <f t="shared" si="2"/>
        <v>15786.704231235128</v>
      </c>
      <c r="V11" s="154">
        <f t="shared" si="2"/>
        <v>13918.948858714499</v>
      </c>
      <c r="W11" s="154">
        <f t="shared" si="2"/>
        <v>12072.289332168735</v>
      </c>
      <c r="X11" s="154">
        <f t="shared" si="2"/>
        <v>10328.02203763346</v>
      </c>
      <c r="Y11" s="154">
        <f t="shared" si="2"/>
        <v>7861.9830397040832</v>
      </c>
      <c r="Z11" s="154">
        <f t="shared" si="2"/>
        <v>5710.6241050567633</v>
      </c>
      <c r="AA11" s="72"/>
      <c r="AB11" s="72"/>
    </row>
    <row r="12" spans="1:28" s="34" customFormat="1" ht="14.15" x14ac:dyDescent="0.3">
      <c r="A12" s="150" t="s">
        <v>229</v>
      </c>
      <c r="B12" s="158">
        <f t="shared" ref="B12:Z12" si="3">(B7+B15)/B14-1</f>
        <v>0.11934461367481264</v>
      </c>
      <c r="C12" s="158">
        <f t="shared" si="3"/>
        <v>0.19593933203709701</v>
      </c>
      <c r="D12" s="158">
        <f t="shared" si="3"/>
        <v>0.17822170365786261</v>
      </c>
      <c r="E12" s="158">
        <f t="shared" si="3"/>
        <v>0.13040267005389561</v>
      </c>
      <c r="F12" s="158">
        <f t="shared" si="3"/>
        <v>0.12976561005116194</v>
      </c>
      <c r="G12" s="158">
        <f t="shared" si="3"/>
        <v>0.10222745097610852</v>
      </c>
      <c r="H12" s="158">
        <f t="shared" si="3"/>
        <v>0.10855737353319483</v>
      </c>
      <c r="I12" s="158">
        <f t="shared" si="3"/>
        <v>9.687907913395688E-2</v>
      </c>
      <c r="J12" s="158">
        <f t="shared" si="3"/>
        <v>0.17965040211819661</v>
      </c>
      <c r="K12" s="158">
        <f t="shared" si="3"/>
        <v>0.26738835362051638</v>
      </c>
      <c r="L12" s="158">
        <f t="shared" si="3"/>
        <v>0.40270206798445574</v>
      </c>
      <c r="M12" s="158">
        <f t="shared" si="3"/>
        <v>0.52090768562560164</v>
      </c>
      <c r="N12" s="158">
        <f t="shared" si="3"/>
        <v>0.69106851526619506</v>
      </c>
      <c r="O12" s="158">
        <f t="shared" si="3"/>
        <v>0.8457186583929599</v>
      </c>
      <c r="P12" s="158">
        <f t="shared" si="3"/>
        <v>1.055443761723823</v>
      </c>
      <c r="Q12" s="158">
        <f t="shared" si="3"/>
        <v>1.2259825370942319</v>
      </c>
      <c r="R12" s="158">
        <f t="shared" si="3"/>
        <v>1.1330275115966222</v>
      </c>
      <c r="S12" s="158">
        <f t="shared" si="3"/>
        <v>0.95309872263025386</v>
      </c>
      <c r="T12" s="158">
        <f t="shared" si="3"/>
        <v>0.79846237006276599</v>
      </c>
      <c r="U12" s="158">
        <f t="shared" si="3"/>
        <v>0.59187068667332965</v>
      </c>
      <c r="V12" s="158">
        <f t="shared" si="3"/>
        <v>0.4253672948197611</v>
      </c>
      <c r="W12" s="158">
        <f t="shared" si="3"/>
        <v>0.26083438277358595</v>
      </c>
      <c r="X12" s="158">
        <f t="shared" si="3"/>
        <v>0.12393118323059249</v>
      </c>
      <c r="Y12" s="158">
        <f t="shared" si="3"/>
        <v>-6.6682584279705304E-2</v>
      </c>
      <c r="Z12" s="158">
        <f t="shared" si="3"/>
        <v>-0.23001442924997895</v>
      </c>
      <c r="AA12" s="72"/>
      <c r="AB12" s="72"/>
    </row>
    <row r="13" spans="1:28" x14ac:dyDescent="0.3">
      <c r="A13" s="157" t="s">
        <v>227</v>
      </c>
    </row>
    <row r="14" spans="1:28" s="34" customFormat="1" ht="14.15" x14ac:dyDescent="0.3">
      <c r="A14" s="150" t="s">
        <v>230</v>
      </c>
      <c r="B14" s="154">
        <f>资产负债!D19</f>
        <v>11457.443741126881</v>
      </c>
      <c r="C14" s="154">
        <f>资产负债!E19</f>
        <v>11457.443741126881</v>
      </c>
      <c r="D14" s="154">
        <f>资产负债!F19</f>
        <v>11457.443741126881</v>
      </c>
      <c r="E14" s="154">
        <f>资产负债!G19</f>
        <v>11457.443741126881</v>
      </c>
      <c r="F14" s="154">
        <f>资产负债!H19</f>
        <v>11457.443741126881</v>
      </c>
      <c r="G14" s="154">
        <f>资产负债!I19</f>
        <v>11457.443741126881</v>
      </c>
      <c r="H14" s="154">
        <f>资产负债!J19</f>
        <v>11457.443741126881</v>
      </c>
      <c r="I14" s="154">
        <f>资产负债!K19</f>
        <v>11457.443741126881</v>
      </c>
      <c r="J14" s="154">
        <f>资产负债!L19</f>
        <v>11457.443741126881</v>
      </c>
      <c r="K14" s="154">
        <f>资产负债!M19</f>
        <v>11457.443741126881</v>
      </c>
      <c r="L14" s="154">
        <f>资产负债!N19</f>
        <v>11457.443741126881</v>
      </c>
      <c r="M14" s="154">
        <f>资产负债!O19</f>
        <v>11457.443741126881</v>
      </c>
      <c r="N14" s="154">
        <f>资产负债!P19</f>
        <v>11457.443741126881</v>
      </c>
      <c r="O14" s="154">
        <f>资产负债!Q19</f>
        <v>11457.443741126881</v>
      </c>
      <c r="P14" s="154">
        <f>资产负债!R19</f>
        <v>11457.443741126881</v>
      </c>
      <c r="Q14" s="154">
        <f>资产负债!S19</f>
        <v>11457.443741126881</v>
      </c>
      <c r="R14" s="154">
        <f>资产负债!T19</f>
        <v>11457.443741126881</v>
      </c>
      <c r="S14" s="154">
        <f>资产负债!U19</f>
        <v>11457.443741126881</v>
      </c>
      <c r="T14" s="154">
        <f>资产负债!V19</f>
        <v>11457.443741126881</v>
      </c>
      <c r="U14" s="154">
        <f>资产负债!W19</f>
        <v>11457.443741126881</v>
      </c>
      <c r="V14" s="154">
        <f>资产负债!X19</f>
        <v>11457.443741126881</v>
      </c>
      <c r="W14" s="154">
        <f>资产负债!Y19</f>
        <v>11457.443741126881</v>
      </c>
      <c r="X14" s="154">
        <f>资产负债!Z19</f>
        <v>11457.443741126881</v>
      </c>
      <c r="Y14" s="154">
        <f>资产负债!AA19</f>
        <v>11457.443741126881</v>
      </c>
      <c r="Z14" s="154">
        <f>资产负债!AB19</f>
        <v>11457.443741126881</v>
      </c>
      <c r="AA14" s="72"/>
      <c r="AB14" s="72"/>
    </row>
    <row r="15" spans="1:28" s="34" customFormat="1" ht="14.15" x14ac:dyDescent="0.3">
      <c r="A15" s="150" t="s">
        <v>228</v>
      </c>
      <c r="B15" s="154">
        <f>资产负债!D20</f>
        <v>29.544424236555486</v>
      </c>
      <c r="C15" s="154">
        <f>资产负债!E20</f>
        <v>83.63389586045335</v>
      </c>
      <c r="D15" s="154">
        <f>资产负债!F20</f>
        <v>144.51968657276487</v>
      </c>
      <c r="E15" s="154">
        <f>资产负债!G20</f>
        <v>195.9211667699191</v>
      </c>
      <c r="F15" s="154">
        <f>资产负债!H20</f>
        <v>254.83073245212012</v>
      </c>
      <c r="G15" s="154">
        <f>资产负债!I20</f>
        <v>320.99572795501348</v>
      </c>
      <c r="H15" s="154">
        <f>资产负债!J20</f>
        <v>384.96528847794877</v>
      </c>
      <c r="I15" s="154">
        <f>资产负债!K20</f>
        <v>452.43777803113187</v>
      </c>
      <c r="J15" s="154">
        <f>资产负债!L20</f>
        <v>518.39809648846915</v>
      </c>
      <c r="K15" s="154">
        <f>资产负债!M20</f>
        <v>593.02545894566595</v>
      </c>
      <c r="L15" s="154">
        <f>资产负债!N20</f>
        <v>676.82352394690224</v>
      </c>
      <c r="M15" s="154">
        <f>资产负债!O20</f>
        <v>769.63820696780283</v>
      </c>
      <c r="N15" s="154">
        <f>资产负债!P20</f>
        <v>872.70225902370282</v>
      </c>
      <c r="O15" s="154">
        <f>资产负债!Q20</f>
        <v>986.59291677291617</v>
      </c>
      <c r="P15" s="154">
        <f>资产负债!R20</f>
        <v>1095.8830564587668</v>
      </c>
      <c r="Q15" s="154">
        <f>资产负债!S20</f>
        <v>1215.8329789217596</v>
      </c>
      <c r="R15" s="154">
        <f>资产负债!T20</f>
        <v>1335.0216477197075</v>
      </c>
      <c r="S15" s="154">
        <f>资产负债!U20</f>
        <v>1451.29501155809</v>
      </c>
      <c r="T15" s="154">
        <f>资产负债!V20</f>
        <v>1565.4040528548292</v>
      </c>
      <c r="U15" s="154">
        <f>资产负债!W20</f>
        <v>1677.3487716099253</v>
      </c>
      <c r="V15" s="154">
        <f>资产负债!X20</f>
        <v>1968.1269669091698</v>
      </c>
      <c r="W15" s="154">
        <f>资产负债!Y20</f>
        <v>2256.6499010321418</v>
      </c>
      <c r="X15" s="154">
        <f>资产负债!Z20</f>
        <v>2542.9175739788407</v>
      </c>
      <c r="Y15" s="154">
        <f>资产负债!AA20</f>
        <v>2826.1020276335075</v>
      </c>
      <c r="Z15" s="154">
        <f>资产负债!AB20</f>
        <v>3107.0312201119018</v>
      </c>
      <c r="AA15" s="72"/>
      <c r="AB15" s="72"/>
    </row>
    <row r="16" spans="1:28" s="34" customFormat="1" ht="14.15" x14ac:dyDescent="0.3">
      <c r="A16" s="150" t="s">
        <v>231</v>
      </c>
      <c r="B16" s="154">
        <f t="shared" ref="B16:Z16" si="4">B7+B15</f>
        <v>12824.827938112569</v>
      </c>
      <c r="C16" s="154">
        <f t="shared" si="4"/>
        <v>13702.4076146159</v>
      </c>
      <c r="D16" s="154">
        <f t="shared" si="4"/>
        <v>13499.408884234628</v>
      </c>
      <c r="E16" s="154">
        <f t="shared" si="4"/>
        <v>12951.52499696212</v>
      </c>
      <c r="F16" s="154">
        <f t="shared" si="4"/>
        <v>12944.225917821079</v>
      </c>
      <c r="G16" s="154">
        <f t="shared" si="4"/>
        <v>12628.70900948445</v>
      </c>
      <c r="H16" s="154">
        <f t="shared" si="4"/>
        <v>12701.233741067957</v>
      </c>
      <c r="I16" s="154">
        <f t="shared" si="4"/>
        <v>12567.430339996372</v>
      </c>
      <c r="J16" s="154">
        <f t="shared" si="4"/>
        <v>13515.77811646694</v>
      </c>
      <c r="K16" s="154">
        <f t="shared" si="4"/>
        <v>14521.030759766489</v>
      </c>
      <c r="L16" s="154">
        <f t="shared" si="4"/>
        <v>16071.380029494234</v>
      </c>
      <c r="M16" s="154">
        <f t="shared" si="4"/>
        <v>17425.714243502818</v>
      </c>
      <c r="N16" s="154">
        <f t="shared" si="4"/>
        <v>19375.322376053395</v>
      </c>
      <c r="O16" s="154">
        <f t="shared" si="4"/>
        <v>21147.217690485522</v>
      </c>
      <c r="P16" s="154">
        <f t="shared" si="4"/>
        <v>23550.131263000909</v>
      </c>
      <c r="Q16" s="154">
        <f t="shared" si="4"/>
        <v>25504.069687488041</v>
      </c>
      <c r="R16" s="154">
        <f t="shared" si="4"/>
        <v>24439.042712394166</v>
      </c>
      <c r="S16" s="154">
        <f t="shared" si="4"/>
        <v>22377.518735402908</v>
      </c>
      <c r="T16" s="154">
        <f t="shared" si="4"/>
        <v>20605.781425527854</v>
      </c>
      <c r="U16" s="154">
        <f t="shared" si="4"/>
        <v>18238.768835708692</v>
      </c>
      <c r="V16" s="154">
        <f t="shared" si="4"/>
        <v>16331.065590839626</v>
      </c>
      <c r="W16" s="154">
        <f t="shared" si="4"/>
        <v>14445.939007506797</v>
      </c>
      <c r="X16" s="154">
        <f t="shared" si="4"/>
        <v>12877.378300762683</v>
      </c>
      <c r="Y16" s="154">
        <f t="shared" si="4"/>
        <v>10693.431783229205</v>
      </c>
      <c r="Z16" s="154">
        <f t="shared" si="4"/>
        <v>8822.0663583478381</v>
      </c>
      <c r="AA16" s="72"/>
      <c r="AB16" s="72"/>
    </row>
    <row r="17" spans="1:31" hidden="1" x14ac:dyDescent="0.3">
      <c r="A17" s="160" t="s">
        <v>229</v>
      </c>
      <c r="B17" s="158">
        <f t="shared" ref="B17:U17" si="5">B16/B14-1</f>
        <v>0.11934461367481264</v>
      </c>
      <c r="C17" s="158">
        <f t="shared" si="5"/>
        <v>0.19593933203709701</v>
      </c>
      <c r="D17" s="158">
        <f t="shared" si="5"/>
        <v>0.17822170365786261</v>
      </c>
      <c r="E17" s="158">
        <f t="shared" si="5"/>
        <v>0.13040267005389561</v>
      </c>
      <c r="F17" s="158">
        <f t="shared" si="5"/>
        <v>0.12976561005116194</v>
      </c>
      <c r="G17" s="158">
        <f t="shared" si="5"/>
        <v>0.10222745097610852</v>
      </c>
      <c r="H17" s="158">
        <f t="shared" si="5"/>
        <v>0.10855737353319483</v>
      </c>
      <c r="I17" s="158">
        <f t="shared" si="5"/>
        <v>9.687907913395688E-2</v>
      </c>
      <c r="J17" s="158">
        <f t="shared" si="5"/>
        <v>0.17965040211819661</v>
      </c>
      <c r="K17" s="158">
        <f t="shared" si="5"/>
        <v>0.26738835362051638</v>
      </c>
      <c r="L17" s="158">
        <f t="shared" si="5"/>
        <v>0.40270206798445574</v>
      </c>
      <c r="M17" s="158">
        <f t="shared" si="5"/>
        <v>0.52090768562560164</v>
      </c>
      <c r="N17" s="158">
        <f t="shared" si="5"/>
        <v>0.69106851526619506</v>
      </c>
      <c r="O17" s="158">
        <f t="shared" si="5"/>
        <v>0.8457186583929599</v>
      </c>
      <c r="P17" s="158">
        <f t="shared" si="5"/>
        <v>1.055443761723823</v>
      </c>
      <c r="Q17" s="158">
        <f t="shared" si="5"/>
        <v>1.2259825370942319</v>
      </c>
      <c r="R17" s="158">
        <f t="shared" si="5"/>
        <v>1.1330275115966222</v>
      </c>
      <c r="S17" s="158">
        <f t="shared" si="5"/>
        <v>0.95309872263025386</v>
      </c>
      <c r="T17" s="158">
        <f t="shared" si="5"/>
        <v>0.79846237006276599</v>
      </c>
      <c r="U17" s="158">
        <f t="shared" si="5"/>
        <v>0.59187068667332965</v>
      </c>
    </row>
    <row r="18" spans="1:31" s="34" customFormat="1" ht="17.149999999999999" hidden="1" customHeight="1" x14ac:dyDescent="0.3">
      <c r="A18" s="572" t="s">
        <v>223</v>
      </c>
      <c r="B18" s="573"/>
      <c r="C18" s="573"/>
      <c r="D18" s="573"/>
      <c r="E18" s="573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3"/>
      <c r="Q18" s="573"/>
      <c r="R18" s="573"/>
      <c r="S18" s="573"/>
      <c r="T18" s="573"/>
      <c r="U18" s="574"/>
      <c r="V18" s="72"/>
      <c r="W18" s="72"/>
      <c r="X18" s="72"/>
      <c r="Y18" s="72"/>
      <c r="Z18" s="72"/>
      <c r="AA18" s="72"/>
      <c r="AB18" s="72"/>
      <c r="AC18" s="72"/>
      <c r="AD18" s="72"/>
      <c r="AE18" s="72"/>
    </row>
    <row r="19" spans="1:31" s="34" customFormat="1" ht="17.149999999999999" hidden="1" customHeight="1" x14ac:dyDescent="0.3">
      <c r="A19" s="147" t="s">
        <v>222</v>
      </c>
      <c r="B19" s="153">
        <v>1</v>
      </c>
      <c r="C19" s="155">
        <v>2</v>
      </c>
      <c r="D19" s="155">
        <v>3</v>
      </c>
      <c r="E19" s="155">
        <v>4</v>
      </c>
      <c r="F19" s="155">
        <v>5</v>
      </c>
      <c r="G19" s="155">
        <v>6</v>
      </c>
      <c r="H19" s="155">
        <v>7</v>
      </c>
      <c r="I19" s="155">
        <v>8</v>
      </c>
      <c r="J19" s="155">
        <v>9</v>
      </c>
      <c r="K19" s="155">
        <v>10</v>
      </c>
      <c r="L19" s="155">
        <v>11</v>
      </c>
      <c r="M19" s="155">
        <v>12</v>
      </c>
      <c r="N19" s="155">
        <v>13</v>
      </c>
      <c r="O19" s="155">
        <v>14</v>
      </c>
      <c r="P19" s="155">
        <v>15</v>
      </c>
      <c r="Q19" s="155">
        <v>16</v>
      </c>
      <c r="R19" s="155">
        <v>17</v>
      </c>
      <c r="S19" s="155">
        <v>18</v>
      </c>
      <c r="T19" s="155">
        <v>19</v>
      </c>
      <c r="U19" s="155">
        <v>20</v>
      </c>
      <c r="V19" s="72"/>
      <c r="W19" s="72"/>
      <c r="X19" s="72"/>
      <c r="Y19" s="72"/>
      <c r="Z19" s="72"/>
      <c r="AA19" s="72"/>
      <c r="AB19" s="72"/>
      <c r="AC19" s="72"/>
      <c r="AD19" s="72"/>
      <c r="AE19" s="72"/>
    </row>
    <row r="20" spans="1:31" s="34" customFormat="1" ht="17.149999999999999" hidden="1" customHeight="1" x14ac:dyDescent="0.3">
      <c r="A20" s="147" t="s">
        <v>225</v>
      </c>
      <c r="B20" s="156">
        <f>成本!E31</f>
        <v>48749.4898200467</v>
      </c>
      <c r="C20" s="156">
        <f>成本!F31</f>
        <v>46324.459563256838</v>
      </c>
      <c r="D20" s="156">
        <f>成本!G31</f>
        <v>43899.429306466976</v>
      </c>
      <c r="E20" s="156">
        <f>成本!H31</f>
        <v>41474.399049677115</v>
      </c>
      <c r="F20" s="156">
        <f>成本!I31</f>
        <v>39049.368792887253</v>
      </c>
      <c r="G20" s="156">
        <f>成本!J31</f>
        <v>36624.338536097392</v>
      </c>
      <c r="H20" s="156">
        <f>成本!K31</f>
        <v>34199.30827930753</v>
      </c>
      <c r="I20" s="156">
        <f>成本!L31</f>
        <v>31774.278022517668</v>
      </c>
      <c r="J20" s="156">
        <f>成本!M31</f>
        <v>29349.247765727807</v>
      </c>
      <c r="K20" s="156">
        <f>成本!N31</f>
        <v>26924.217508937945</v>
      </c>
      <c r="L20" s="156">
        <f>成本!O31</f>
        <v>24499.187252148084</v>
      </c>
      <c r="M20" s="156">
        <f>成本!P31</f>
        <v>22074.156995358222</v>
      </c>
      <c r="N20" s="156">
        <f>成本!Q31</f>
        <v>19649.12673856836</v>
      </c>
      <c r="O20" s="156">
        <f>成本!R31</f>
        <v>17224.096481778499</v>
      </c>
      <c r="P20" s="156">
        <f>成本!S31</f>
        <v>14799.066224988637</v>
      </c>
      <c r="Q20" s="156">
        <f>成本!T31</f>
        <v>12374.035968198776</v>
      </c>
      <c r="R20" s="156">
        <f>成本!U31</f>
        <v>9949.0057114089141</v>
      </c>
      <c r="S20" s="156">
        <f>成本!V31</f>
        <v>7523.9754546190534</v>
      </c>
      <c r="T20" s="156">
        <f>成本!W31</f>
        <v>5098.9451978291927</v>
      </c>
      <c r="U20" s="156">
        <f>成本!X31</f>
        <v>2673.914941039332</v>
      </c>
      <c r="V20" s="72"/>
      <c r="W20" s="72"/>
      <c r="X20" s="72"/>
      <c r="Y20" s="72"/>
      <c r="Z20" s="72"/>
      <c r="AA20" s="72"/>
      <c r="AB20" s="72"/>
      <c r="AC20" s="72"/>
      <c r="AD20" s="72"/>
      <c r="AE20" s="72"/>
    </row>
    <row r="21" spans="1:31" s="34" customFormat="1" ht="17.149999999999999" hidden="1" customHeight="1" x14ac:dyDescent="0.3">
      <c r="A21" s="147" t="s">
        <v>226</v>
      </c>
      <c r="B21" s="156">
        <f>现金流量!E20-现金流量!E19+成本!E6</f>
        <v>4728.9585221655225</v>
      </c>
      <c r="C21" s="156">
        <f>现金流量!F20-现金流量!F19+成本!F6</f>
        <v>4995.2654233558633</v>
      </c>
      <c r="D21" s="156">
        <f>现金流量!G20-现金流量!G19+成本!G6</f>
        <v>4958.166203740624</v>
      </c>
      <c r="E21" s="156">
        <f>现金流量!H20-现金流量!H19+成本!H6</f>
        <v>4526.584007596447</v>
      </c>
      <c r="F21" s="156">
        <f>现金流量!I20-现金流量!I19+成本!I6</f>
        <v>4500.9870248081097</v>
      </c>
      <c r="G21" s="156">
        <f>现金流量!J20-现金流量!J19+成本!J6</f>
        <v>4468.1819659260236</v>
      </c>
      <c r="H21" s="156">
        <f>现金流量!K20-现金流量!K19+成本!K6</f>
        <v>4154.3628793737107</v>
      </c>
      <c r="I21" s="156">
        <f>现金流量!L20-现金流量!L19+成本!L6</f>
        <v>4090.4902349034865</v>
      </c>
      <c r="J21" s="156">
        <f>现金流量!M20-现金流量!M19+成本!M6</f>
        <v>3971.8676492053937</v>
      </c>
      <c r="K21" s="156">
        <f>现金流量!N20-现金流量!N19+成本!N6</f>
        <v>3950.2244237889636</v>
      </c>
      <c r="L21" s="156">
        <f>现金流量!O20-现金流量!O19+成本!O6</f>
        <v>3928.5811983725325</v>
      </c>
      <c r="M21" s="156">
        <f>现金流量!P20-现金流量!P19+成本!P6</f>
        <v>3900.1263410475085</v>
      </c>
      <c r="N21" s="156">
        <f>现金流量!Q20-现金流量!Q19+成本!Q6</f>
        <v>3878.483115631077</v>
      </c>
      <c r="O21" s="156">
        <f>现金流量!R20-现金流量!R19+成本!R6</f>
        <v>3856.8398902146464</v>
      </c>
      <c r="P21" s="156">
        <f>现金流量!S20-现金流量!S19+成本!S6</f>
        <v>3674.8846456022011</v>
      </c>
      <c r="Q21" s="156">
        <f>现金流量!T20-现金流量!T19+成本!T6</f>
        <v>3653.24142018577</v>
      </c>
      <c r="R21" s="156">
        <f>现金流量!U20-现金流量!U19+成本!U6</f>
        <v>3631.5981947693399</v>
      </c>
      <c r="S21" s="156">
        <f>现金流量!V20-现金流量!V19+成本!V6</f>
        <v>3602.445145173685</v>
      </c>
      <c r="T21" s="156">
        <f>现金流量!W20-现金流量!W19+成本!W6</f>
        <v>3580.8019197572535</v>
      </c>
      <c r="U21" s="156">
        <f>现金流量!X20-现金流量!X19+成本!X6</f>
        <v>3559.1586943408224</v>
      </c>
      <c r="V21" s="72"/>
      <c r="W21" s="72"/>
      <c r="X21" s="72"/>
      <c r="Y21" s="72"/>
      <c r="Z21" s="72"/>
      <c r="AA21" s="72"/>
      <c r="AB21" s="72"/>
      <c r="AC21" s="72"/>
      <c r="AD21" s="72"/>
      <c r="AE21" s="72"/>
    </row>
    <row r="22" spans="1:31" s="34" customFormat="1" ht="14.15" hidden="1" x14ac:dyDescent="0.3">
      <c r="A22" s="150" t="s">
        <v>218</v>
      </c>
      <c r="B22" s="151">
        <f>B21</f>
        <v>4728.9585221655225</v>
      </c>
      <c r="C22" s="151">
        <f>现金流量!F20-现金流量!F19+成本!F6</f>
        <v>4995.2654233558633</v>
      </c>
      <c r="D22" s="151">
        <f>现金流量!G20-现金流量!G19+成本!G6</f>
        <v>4958.166203740624</v>
      </c>
      <c r="E22" s="151">
        <f>现金流量!H20-现金流量!H19+成本!H6</f>
        <v>4526.584007596447</v>
      </c>
      <c r="F22" s="151">
        <f>现金流量!I20-现金流量!I19+成本!I6</f>
        <v>4500.9870248081097</v>
      </c>
      <c r="G22" s="151">
        <f>现金流量!J20-现金流量!J19+成本!J6</f>
        <v>4468.1819659260236</v>
      </c>
      <c r="H22" s="151">
        <f>现金流量!K20-现金流量!K19+成本!K6</f>
        <v>4154.3628793737107</v>
      </c>
      <c r="I22" s="151">
        <f>现金流量!L20-现金流量!L19+成本!L6</f>
        <v>4090.4902349034865</v>
      </c>
      <c r="J22" s="151">
        <f>现金流量!M20-现金流量!M19+成本!M6</f>
        <v>3971.8676492053937</v>
      </c>
      <c r="K22" s="151">
        <f>现金流量!N20-现金流量!N19+成本!N6</f>
        <v>3950.2244237889636</v>
      </c>
      <c r="L22" s="151">
        <f>现金流量!O20-现金流量!O19+成本!O6</f>
        <v>3928.5811983725325</v>
      </c>
      <c r="M22" s="151">
        <f>现金流量!P20-现金流量!P19+成本!P6</f>
        <v>3900.1263410475085</v>
      </c>
      <c r="N22" s="151">
        <f>现金流量!Q20-现金流量!Q19+成本!Q6</f>
        <v>3878.483115631077</v>
      </c>
      <c r="O22" s="151">
        <f>现金流量!R20-现金流量!R19+成本!R6</f>
        <v>3856.8398902146464</v>
      </c>
      <c r="P22" s="151">
        <f>现金流量!S20-现金流量!S19+成本!S6</f>
        <v>3674.8846456022011</v>
      </c>
      <c r="Q22" s="151">
        <f>现金流量!T20-现金流量!T19+成本!T6</f>
        <v>3653.24142018577</v>
      </c>
      <c r="R22" s="151">
        <f>现金流量!U20-现金流量!U19+成本!U6</f>
        <v>3631.5981947693399</v>
      </c>
      <c r="S22" s="151">
        <f>现金流量!V20-现金流量!V19+成本!V6</f>
        <v>3602.445145173685</v>
      </c>
      <c r="T22" s="151">
        <f>现金流量!W20-现金流量!W19+成本!W6</f>
        <v>3580.8019197572535</v>
      </c>
      <c r="U22" s="151">
        <f>现金流量!X20-现金流量!X19+成本!X6</f>
        <v>3559.1586943408224</v>
      </c>
    </row>
    <row r="23" spans="1:31" s="34" customFormat="1" ht="14.15" hidden="1" x14ac:dyDescent="0.3">
      <c r="A23" s="150" t="s">
        <v>219</v>
      </c>
      <c r="B23" s="151">
        <f>B22*(1+参数表!$C$71)^(现金流量!$X$4-现金流量!E$4)</f>
        <v>22280.787176725986</v>
      </c>
      <c r="C23" s="151">
        <f>C22*(1+参数表!$C$71)^(现金流量!$X$4-现金流量!F$4)</f>
        <v>21691.713350411872</v>
      </c>
      <c r="D23" s="151">
        <f>D22*(1+参数表!$C$71)^(现金流量!$X$4-现金流量!G$4)</f>
        <v>19843.881726526033</v>
      </c>
      <c r="E23" s="151">
        <f>E22*(1+参数表!$C$71)^(现金流量!$X$4-现金流量!H$4)</f>
        <v>16697.305593554531</v>
      </c>
      <c r="F23" s="151">
        <f>F22*(1+参数表!$C$71)^(现金流量!$X$4-现金流量!I$4)</f>
        <v>15302.198585257596</v>
      </c>
      <c r="G23" s="151">
        <f>G22*(1+参数表!$C$71)^(现金流量!$X$4-现金流量!J$4)</f>
        <v>14000.617345561212</v>
      </c>
      <c r="H23" s="151">
        <f>H22*(1+参数表!$C$71)^(现金流量!$X$4-现金流量!K$4)</f>
        <v>11997.507371309261</v>
      </c>
      <c r="I23" s="151">
        <f>I22*(1+参数表!$C$71)^(现金流量!$X$4-现金流量!L$4)</f>
        <v>10887.601542055269</v>
      </c>
      <c r="J23" s="151">
        <f>J22*(1+参数表!$C$71)^(现金流量!$X$4-现金流量!M$4)</f>
        <v>9743.6547823498931</v>
      </c>
      <c r="K23" s="151">
        <f>K22*(1+参数表!$C$71)^(现金流量!$X$4-现金流量!N$4)</f>
        <v>8931.3920140446808</v>
      </c>
      <c r="L23" s="151">
        <f>L22*(1+参数表!$C$71)^(现金流量!$X$4-现金流量!O$4)</f>
        <v>8186.5963499985646</v>
      </c>
      <c r="M23" s="151">
        <f>M22*(1+参数表!$C$71)^(现金流量!$X$4-现金流量!P$4)</f>
        <v>7490.5995697461749</v>
      </c>
      <c r="N23" s="151">
        <f>N22*(1+参数表!$C$71)^(现金流量!$X$4-现金流量!Q$4)</f>
        <v>6865.4668176229907</v>
      </c>
      <c r="O23" s="151">
        <f>O22*(1+参数表!$C$71)^(现金流量!$X$4-现金流量!R$4)</f>
        <v>6292.3089676958216</v>
      </c>
      <c r="P23" s="151">
        <f>P22*(1+参数表!$C$71)^(现金流量!$X$4-现金流量!S$4)</f>
        <v>5525.7648829926165</v>
      </c>
      <c r="Q23" s="151">
        <f>Q22*(1+参数表!$C$71)^(现金流量!$X$4-现金流量!T$4)</f>
        <v>5062.8764076480802</v>
      </c>
      <c r="R23" s="151">
        <f>R22*(1+参数表!$C$71)^(现金流量!$X$4-现金流量!U$4)</f>
        <v>4638.6008805485098</v>
      </c>
      <c r="S23" s="151">
        <f>S22*(1+参数表!$C$71)^(现金流量!$X$4-现金流量!V$4)</f>
        <v>4240.8884860270909</v>
      </c>
      <c r="T23" s="151">
        <f>T22*(1+参数表!$C$71)^(现金流量!$X$4-现金流量!W$4)</f>
        <v>3885.17008293662</v>
      </c>
      <c r="U23" s="151">
        <f>U22*(1+参数表!$C$71)^(现金流量!$X$4-现金流量!X$4)</f>
        <v>3559.1586943408224</v>
      </c>
    </row>
    <row r="24" spans="1:31" s="34" customFormat="1" ht="14.15" hidden="1" x14ac:dyDescent="0.3">
      <c r="A24" s="150" t="s">
        <v>220</v>
      </c>
      <c r="B24" s="151">
        <f>SUM(B23:$U23)/(1+参数表!$C$71)^(现金流量!$X4-现金流量!E4)</f>
        <v>43960.800206428619</v>
      </c>
      <c r="C24" s="151">
        <f>SUM(C23:$U23)/(1+参数表!$C$71)^(现金流量!$X4-现金流量!F4)</f>
        <v>42566.548227425468</v>
      </c>
      <c r="D24" s="151">
        <f>SUM(D23:$U23)/(1+参数表!$C$71)^(现金流量!$X4-现金流量!G4)</f>
        <v>40764.841842415517</v>
      </c>
      <c r="E24" s="151">
        <f>SUM(E23:$U23)/(1+参数表!$C$71)^(现金流量!$X4-现金流量!H4)</f>
        <v>38850.243067962256</v>
      </c>
      <c r="F24" s="151">
        <f>SUM(F23:$U23)/(1+参数表!$C$71)^(现金流量!$X4-现金流量!I4)</f>
        <v>37241.170080496893</v>
      </c>
      <c r="G24" s="151">
        <f>SUM(G23:$U23)/(1+参数表!$C$71)^(现金流量!$X4-现金流量!J4)</f>
        <v>35523.098615422343</v>
      </c>
      <c r="H24" s="151">
        <f>SUM(H23:$U23)/(1+参数表!$C$71)^(现金流量!$X4-现金流量!K4)</f>
        <v>33694.584564703502</v>
      </c>
      <c r="I24" s="151">
        <f>SUM(I23:$U23)/(1+参数表!$C$71)^(现金流量!$X4-现金流量!L4)</f>
        <v>32051.140528582819</v>
      </c>
      <c r="J24" s="151">
        <f>SUM(J23:$U23)/(1+参数表!$C$71)^(现金流量!$X4-现金流量!M4)</f>
        <v>30337.305568642074</v>
      </c>
      <c r="K24" s="151">
        <f>SUM(K23:$U23)/(1+参数表!$C$71)^(现金流量!$X4-现金流量!N4)</f>
        <v>28606.500142588804</v>
      </c>
      <c r="L24" s="151">
        <f>SUM(L23:$U23)/(1+参数表!$C$71)^(现金流量!$X4-现金流量!O4)</f>
        <v>26752.059154897826</v>
      </c>
      <c r="M24" s="151">
        <f>SUM(M23:$U23)/(1+参数表!$C$71)^(现金流量!$X4-现金流量!P4)</f>
        <v>24763.473582829942</v>
      </c>
      <c r="N24" s="151">
        <f>SUM(N23:$U23)/(1+参数表!$C$71)^(现金流量!$X4-现金流量!Q4)</f>
        <v>22636.731757333935</v>
      </c>
      <c r="O24" s="151">
        <f>SUM(O23:$U23)/(1+参数表!$C$71)^(现金流量!$X4-现金流量!R4)</f>
        <v>20352.699776247606</v>
      </c>
      <c r="P24" s="151">
        <f>SUM(P23:$U23)/(1+参数表!$C$71)^(现金流量!$X4-现金流量!S4)</f>
        <v>17898.007976345758</v>
      </c>
      <c r="Q24" s="151">
        <f>SUM(Q23:$U23)/(1+参数表!$C$71)^(现金流量!$X4-现金流量!T4)</f>
        <v>15432.088813856761</v>
      </c>
      <c r="R24" s="151">
        <f>SUM(R23:$U23)/(1+参数表!$C$71)^(现金流量!$X4-现金流量!U4)</f>
        <v>12780.049422133021</v>
      </c>
      <c r="S24" s="151">
        <f>SUM(S23:$U23)/(1+参数表!$C$71)^(现金流量!$X4-现金流量!V4)</f>
        <v>9926.069581689595</v>
      </c>
      <c r="T24" s="151">
        <f>SUM(T23:$U23)/(1+参数表!$C$71)^(现金流量!$X4-现金流量!W4)</f>
        <v>6861.132513619762</v>
      </c>
      <c r="U24" s="151">
        <f>SUM(U23:$U23)/(1+参数表!$C$71)^(现金流量!$X4-现金流量!X4)</f>
        <v>3559.1586943408224</v>
      </c>
    </row>
    <row r="25" spans="1:31" hidden="1" x14ac:dyDescent="0.3">
      <c r="A25" s="151" t="s">
        <v>221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</row>
    <row r="26" spans="1:31" x14ac:dyDescent="0.3">
      <c r="A26" s="160" t="s">
        <v>255</v>
      </c>
      <c r="B26" s="162">
        <f>资产负债!D18</f>
        <v>11540.169128989237</v>
      </c>
      <c r="C26" s="162">
        <f>资产负债!E18</f>
        <v>11691.619649536151</v>
      </c>
      <c r="D26" s="162">
        <f>资产负债!F18</f>
        <v>11862.099863530622</v>
      </c>
      <c r="E26" s="162">
        <f>资产负债!G18</f>
        <v>12006.024008082653</v>
      </c>
      <c r="F26" s="162">
        <f>资产负债!H18</f>
        <v>12170.970791992817</v>
      </c>
      <c r="G26" s="162">
        <f>资产负债!I18</f>
        <v>12356.232779400918</v>
      </c>
      <c r="H26" s="162">
        <f>资产负债!J18</f>
        <v>12535.347548865137</v>
      </c>
      <c r="I26" s="162">
        <f>资产负债!K18</f>
        <v>12724.27051961405</v>
      </c>
      <c r="J26" s="162">
        <f>资产负债!L18</f>
        <v>12908.959411294594</v>
      </c>
      <c r="K26" s="162">
        <f>资产负债!M18</f>
        <v>13117.916026174746</v>
      </c>
      <c r="L26" s="162">
        <f>资产负债!N18</f>
        <v>13352.550608178208</v>
      </c>
      <c r="M26" s="162">
        <f>资产负债!O18</f>
        <v>13612.431720636727</v>
      </c>
      <c r="N26" s="162">
        <f>资产负债!P18</f>
        <v>13901.011066393248</v>
      </c>
      <c r="O26" s="162">
        <f>资产负债!Q18</f>
        <v>14219.904908091044</v>
      </c>
      <c r="P26" s="162">
        <f>资产负债!R18</f>
        <v>14525.917299211427</v>
      </c>
      <c r="Q26" s="162">
        <f>资产负债!S18</f>
        <v>14861.777082107808</v>
      </c>
      <c r="R26" s="162">
        <f>资产负债!T18</f>
        <v>15195.505354742061</v>
      </c>
      <c r="S26" s="162">
        <f>资产负债!U18</f>
        <v>15521.070773489531</v>
      </c>
      <c r="T26" s="162">
        <f>资产负债!V18</f>
        <v>15840.576089120401</v>
      </c>
      <c r="U26" s="162">
        <f>资产负债!W18</f>
        <v>16154.021301634672</v>
      </c>
      <c r="V26" s="162">
        <f>资产负债!X18</f>
        <v>16968.200248472556</v>
      </c>
      <c r="W26" s="162">
        <f>资产负债!Y18</f>
        <v>17776.064464016876</v>
      </c>
      <c r="X26" s="162">
        <f>资产负债!Z18</f>
        <v>18577.613948267634</v>
      </c>
      <c r="Y26" s="162">
        <f>资产负债!AA18</f>
        <v>19370.530418500701</v>
      </c>
      <c r="Z26" s="162">
        <f>资产负债!AB18</f>
        <v>20157.132157440203</v>
      </c>
    </row>
    <row r="27" spans="1:31" x14ac:dyDescent="0.3">
      <c r="B27" s="161">
        <f t="shared" ref="B27:Z27" si="6">B11-B14</f>
        <v>1130.7513928677072</v>
      </c>
      <c r="C27" s="161">
        <f t="shared" si="6"/>
        <v>1830.2792771769728</v>
      </c>
      <c r="D27" s="161">
        <f t="shared" si="6"/>
        <v>1606.0789336126163</v>
      </c>
      <c r="E27" s="161">
        <f t="shared" si="6"/>
        <v>1096.9603132070406</v>
      </c>
      <c r="F27" s="161">
        <f t="shared" si="6"/>
        <v>1040.6866146468565</v>
      </c>
      <c r="G27" s="161">
        <f t="shared" si="6"/>
        <v>716.41475483743125</v>
      </c>
      <c r="H27" s="161">
        <f t="shared" si="6"/>
        <v>723.65038787312551</v>
      </c>
      <c r="I27" s="161">
        <f t="shared" si="6"/>
        <v>552.63278254260695</v>
      </c>
      <c r="J27" s="161">
        <f t="shared" si="6"/>
        <v>1302.1879479656182</v>
      </c>
      <c r="K27" s="161">
        <f t="shared" si="6"/>
        <v>2092.7168103599688</v>
      </c>
      <c r="L27" s="161">
        <f t="shared" si="6"/>
        <v>3338.5101597426346</v>
      </c>
      <c r="M27" s="161">
        <f t="shared" si="6"/>
        <v>4410.1245939751625</v>
      </c>
      <c r="N27" s="161">
        <f t="shared" si="6"/>
        <v>5978.712258329364</v>
      </c>
      <c r="O27" s="161">
        <f t="shared" si="6"/>
        <v>7387.130268852623</v>
      </c>
      <c r="P27" s="161">
        <f t="shared" si="6"/>
        <v>9335.5087299714723</v>
      </c>
      <c r="Q27" s="161">
        <f t="shared" si="6"/>
        <v>10893.421987479745</v>
      </c>
      <c r="R27" s="161">
        <f t="shared" si="6"/>
        <v>9887.3712036592442</v>
      </c>
      <c r="S27" s="161">
        <f t="shared" si="6"/>
        <v>8037.2742259425431</v>
      </c>
      <c r="T27" s="161">
        <f t="shared" si="6"/>
        <v>6435.1906961014611</v>
      </c>
      <c r="U27" s="161">
        <f t="shared" si="6"/>
        <v>4329.2604901082468</v>
      </c>
      <c r="V27" s="161">
        <f t="shared" si="6"/>
        <v>2461.5051175876179</v>
      </c>
      <c r="W27" s="161">
        <f t="shared" si="6"/>
        <v>614.84559104185428</v>
      </c>
      <c r="X27" s="161">
        <f t="shared" si="6"/>
        <v>-1129.4217034934209</v>
      </c>
      <c r="Y27" s="161">
        <f t="shared" si="6"/>
        <v>-3595.4607014227977</v>
      </c>
      <c r="Z27" s="161">
        <f t="shared" si="6"/>
        <v>-5746.8196360701177</v>
      </c>
    </row>
    <row r="28" spans="1:31" x14ac:dyDescent="0.3">
      <c r="B28" s="161">
        <f>B5</f>
        <v>1331.017433979021</v>
      </c>
      <c r="C28" s="161">
        <f t="shared" ref="C28:Z28" si="7">C5/(1+$B$1)^(C4-$B$4)</f>
        <v>1207.4839450298771</v>
      </c>
      <c r="D28" s="161">
        <f t="shared" si="7"/>
        <v>1357.9156945150696</v>
      </c>
      <c r="E28" s="161">
        <f t="shared" si="7"/>
        <v>830.12429035568539</v>
      </c>
      <c r="F28" s="161">
        <f t="shared" si="7"/>
        <v>971.15285964836437</v>
      </c>
      <c r="G28" s="161">
        <f t="shared" si="7"/>
        <v>635.99210664336488</v>
      </c>
      <c r="H28" s="161">
        <f t="shared" si="7"/>
        <v>705.11774471420517</v>
      </c>
      <c r="I28" s="161">
        <f t="shared" si="7"/>
        <v>76.739860902206047</v>
      </c>
      <c r="J28" s="161">
        <f t="shared" si="7"/>
        <v>83.572015223745964</v>
      </c>
      <c r="K28" s="161">
        <f t="shared" si="7"/>
        <v>-125.02115182100485</v>
      </c>
      <c r="L28" s="161">
        <f t="shared" si="7"/>
        <v>19.166151885698817</v>
      </c>
      <c r="M28" s="161">
        <f t="shared" si="7"/>
        <v>-161.84387631556271</v>
      </c>
      <c r="N28" s="161">
        <f t="shared" si="7"/>
        <v>-29.530480193370117</v>
      </c>
      <c r="O28" s="161">
        <f t="shared" si="7"/>
        <v>-185.09276356881495</v>
      </c>
      <c r="P28" s="161">
        <f t="shared" si="7"/>
        <v>21.949482120194304</v>
      </c>
      <c r="Q28" s="161">
        <f t="shared" si="7"/>
        <v>880.71603772817684</v>
      </c>
      <c r="R28" s="161">
        <f t="shared" si="7"/>
        <v>1034.8245092382933</v>
      </c>
      <c r="S28" s="161">
        <f t="shared" si="7"/>
        <v>843.89491645199439</v>
      </c>
      <c r="T28" s="161">
        <f t="shared" si="7"/>
        <v>869.64541684844949</v>
      </c>
      <c r="U28" s="161">
        <f t="shared" si="7"/>
        <v>705.43223940127928</v>
      </c>
      <c r="V28" s="161">
        <f t="shared" si="7"/>
        <v>611.99971744998072</v>
      </c>
      <c r="W28" s="161">
        <f t="shared" si="7"/>
        <v>480.37624849932553</v>
      </c>
      <c r="X28" s="161">
        <f t="shared" si="7"/>
        <v>512.37137890209215</v>
      </c>
      <c r="Y28" s="161">
        <f t="shared" si="7"/>
        <v>398.19159288034047</v>
      </c>
      <c r="Z28" s="161">
        <f t="shared" si="7"/>
        <v>806.68724203685986</v>
      </c>
    </row>
    <row r="29" spans="1:31" x14ac:dyDescent="0.3">
      <c r="B29" s="161"/>
    </row>
    <row r="31" spans="1:31" x14ac:dyDescent="0.3">
      <c r="G31" s="159"/>
      <c r="H31" s="161"/>
    </row>
  </sheetData>
  <mergeCells count="2">
    <mergeCell ref="A3:U3"/>
    <mergeCell ref="A18:U18"/>
  </mergeCells>
  <phoneticPr fontId="6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参数表</vt:lpstr>
      <vt:lpstr>指标汇总</vt:lpstr>
      <vt:lpstr>投资计划</vt:lpstr>
      <vt:lpstr>损益</vt:lpstr>
      <vt:lpstr>成本</vt:lpstr>
      <vt:lpstr>现金流量</vt:lpstr>
      <vt:lpstr>资产负债</vt:lpstr>
      <vt:lpstr>还贷</vt:lpstr>
      <vt:lpstr>财务计划</vt:lpstr>
      <vt:lpstr>估值结果</vt:lpstr>
      <vt:lpstr>aa</vt:lpstr>
      <vt:lpstr>ab</vt:lpstr>
      <vt:lpstr>ac</vt:lpstr>
      <vt:lpstr>b</vt:lpstr>
      <vt:lpstr>cc</vt:lpstr>
      <vt:lpstr>i</vt:lpstr>
      <vt:lpstr>j</vt:lpstr>
      <vt:lpstr>成本!Print_Area</vt:lpstr>
      <vt:lpstr>损益!Print_Area</vt:lpstr>
      <vt:lpstr>现金流量!Print_Area</vt:lpstr>
      <vt:lpstr>资产负债!Print_Area</vt:lpstr>
      <vt:lpstr>短期贷款利息</vt:lpstr>
      <vt:lpstr>流动资金贷款利率</vt:lpstr>
      <vt:lpstr>流动资金总额</vt:lpstr>
      <vt:lpstr>年发电量</vt:lpstr>
      <vt:lpstr>其他费用费率</vt:lpstr>
      <vt:lpstr>所得税率</vt:lpstr>
      <vt:lpstr>盈余公积金</vt:lpstr>
      <vt:lpstr>增值税率</vt:lpstr>
      <vt:lpstr>装机容量</vt:lpstr>
      <vt:lpstr>总投资</vt:lpstr>
    </vt:vector>
  </TitlesOfParts>
  <Company>lihe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lixiaozhen@gedi.com.cn</dc:creator>
  <cp:lastModifiedBy>Πυγμαλίων 朱</cp:lastModifiedBy>
  <cp:revision/>
  <cp:lastPrinted>2020-01-03T02:17:45Z</cp:lastPrinted>
  <dcterms:created xsi:type="dcterms:W3CDTF">2006-09-04T00:37:11Z</dcterms:created>
  <dcterms:modified xsi:type="dcterms:W3CDTF">2026-03-17T09:07:34Z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