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u_j\workspace\developing\calculation-xlsx\"/>
    </mc:Choice>
  </mc:AlternateContent>
  <xr:revisionPtr revIDLastSave="0" documentId="8_{33CAB14B-08B5-4308-A16E-242AFB3BE896}" xr6:coauthVersionLast="47" xr6:coauthVersionMax="47" xr10:uidLastSave="{00000000-0000-0000-0000-000000000000}"/>
  <bookViews>
    <workbookView xWindow="-120" yWindow="-120" windowWidth="38640" windowHeight="21120" xr2:uid="{CB75FA54-4744-47FE-9A7A-5C627FD21474}"/>
  </bookViews>
  <sheets>
    <sheet name="参数表" sheetId="25" r:id="rId1"/>
    <sheet name="指标汇总" sheetId="12" r:id="rId2"/>
    <sheet name="投资计划" sheetId="18" r:id="rId3"/>
    <sheet name="损益" sheetId="9" r:id="rId4"/>
    <sheet name="成本" sheetId="5" r:id="rId5"/>
    <sheet name="现金流量" sheetId="4" r:id="rId6"/>
    <sheet name="资产负债" sheetId="10" r:id="rId7"/>
    <sheet name="还贷" sheetId="11" r:id="rId8"/>
    <sheet name="财务计划" sheetId="17" r:id="rId9"/>
    <sheet name="估值结果" sheetId="20" r:id="rId10"/>
  </sheets>
  <definedNames>
    <definedName name="aa">投资计划!$J$28</definedName>
    <definedName name="ab">投资计划!$K$28</definedName>
    <definedName name="ac">投资计划!$L$28</definedName>
    <definedName name="b">投资计划!$J$27</definedName>
    <definedName name="cc">投资计划!$J$29</definedName>
    <definedName name="i">投资计划!$J$26</definedName>
    <definedName name="j">投资计划!$J$30</definedName>
    <definedName name="_xlnm.Print_Area" localSheetId="4">成本!$A$1:$AF$22</definedName>
    <definedName name="_xlnm.Print_Area" localSheetId="3">损益!$A$1:$AA$34</definedName>
    <definedName name="_xlnm.Print_Area" localSheetId="5">现金流量!$A$1:$Y$66</definedName>
    <definedName name="_xlnm.Print_Area" localSheetId="6">资产负债!$A$1:$W$23</definedName>
    <definedName name="存款利率">参数表!#REF!</definedName>
    <definedName name="短期贷款利息">参数表!$C$29</definedName>
    <definedName name="公益金">指标汇总!#REF!</definedName>
    <definedName name="流动资金贷款比例">参数表!#REF!</definedName>
    <definedName name="流动资金贷款利率">参数表!$C$28</definedName>
    <definedName name="流动资金总额">参数表!$C$24</definedName>
    <definedName name="年发电量">指标汇总!$D$22</definedName>
    <definedName name="其他费用费率">参数表!$C$48</definedName>
    <definedName name="所得税率">参数表!$C$35</definedName>
    <definedName name="盈余公积金">参数表!$C$38</definedName>
    <definedName name="增值税率">参数表!$C$31</definedName>
    <definedName name="装机容量">指标汇总!$D$21</definedName>
    <definedName name="总投资">指标汇总!$D$23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0" i="9" l="1"/>
  <c r="N20" i="9" s="1"/>
  <c r="O20" i="9" s="1"/>
  <c r="P20" i="9" s="1"/>
  <c r="Q20" i="9" s="1"/>
  <c r="R20" i="9" s="1"/>
  <c r="S20" i="9" s="1"/>
  <c r="T20" i="9" s="1"/>
  <c r="U20" i="9" s="1"/>
  <c r="V20" i="9" s="1"/>
  <c r="W20" i="9" s="1"/>
  <c r="X20" i="9" s="1"/>
  <c r="Y20" i="9" s="1"/>
  <c r="Z20" i="9" s="1"/>
  <c r="J20" i="9"/>
  <c r="K20" i="9" s="1"/>
  <c r="L20" i="9" s="1"/>
  <c r="C6" i="25"/>
  <c r="F18" i="5"/>
  <c r="G18" i="5"/>
  <c r="H18" i="5"/>
  <c r="I18" i="5"/>
  <c r="J18" i="5"/>
  <c r="K18" i="5"/>
  <c r="L18" i="5"/>
  <c r="M18" i="5"/>
  <c r="Y18" i="5" s="1"/>
  <c r="N18" i="5"/>
  <c r="O18" i="5"/>
  <c r="P18" i="5"/>
  <c r="Q18" i="5"/>
  <c r="R18" i="5"/>
  <c r="S18" i="5"/>
  <c r="T18" i="5"/>
  <c r="U18" i="5"/>
  <c r="V18" i="5"/>
  <c r="W18" i="5"/>
  <c r="X18" i="5"/>
  <c r="E18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E10" i="5"/>
  <c r="Y10" i="5" s="1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E8" i="5"/>
  <c r="Y8" i="5" s="1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C9" i="25"/>
  <c r="M43" i="25"/>
  <c r="N43" i="25"/>
  <c r="O43" i="25"/>
  <c r="P43" i="25"/>
  <c r="Q43" i="25"/>
  <c r="R43" i="25"/>
  <c r="S43" i="25"/>
  <c r="T43" i="25"/>
  <c r="U43" i="25"/>
  <c r="V43" i="25"/>
  <c r="W43" i="25"/>
  <c r="D43" i="25"/>
  <c r="E43" i="25"/>
  <c r="F43" i="25"/>
  <c r="G43" i="25"/>
  <c r="H43" i="25"/>
  <c r="I43" i="25"/>
  <c r="J43" i="25"/>
  <c r="K43" i="25"/>
  <c r="L43" i="25"/>
  <c r="C43" i="25"/>
  <c r="W15" i="10"/>
  <c r="D9" i="12"/>
  <c r="H5" i="12" s="1"/>
  <c r="D22" i="12" s="1"/>
  <c r="H5" i="9"/>
  <c r="I5" i="9"/>
  <c r="G10" i="17" s="1"/>
  <c r="G9" i="10" s="1"/>
  <c r="J5" i="9"/>
  <c r="K5" i="9"/>
  <c r="I10" i="17" s="1"/>
  <c r="J9" i="10" s="1"/>
  <c r="L5" i="9"/>
  <c r="J10" i="17" s="1"/>
  <c r="M5" i="9"/>
  <c r="K10" i="17" s="1"/>
  <c r="N5" i="9"/>
  <c r="O5" i="9"/>
  <c r="P5" i="9"/>
  <c r="N10" i="17"/>
  <c r="Q5" i="9"/>
  <c r="R5" i="9"/>
  <c r="P10" i="17" s="1"/>
  <c r="S5" i="9"/>
  <c r="Q10" i="17"/>
  <c r="T5" i="9"/>
  <c r="R10" i="17" s="1"/>
  <c r="U5" i="9"/>
  <c r="S10" i="17" s="1"/>
  <c r="V5" i="9"/>
  <c r="W5" i="9"/>
  <c r="X5" i="9"/>
  <c r="V10" i="17" s="1"/>
  <c r="Y5" i="9"/>
  <c r="W10" i="17" s="1"/>
  <c r="Z5" i="9"/>
  <c r="X10" i="17"/>
  <c r="G5" i="9"/>
  <c r="C53" i="25"/>
  <c r="C51" i="25" s="1"/>
  <c r="G6" i="18"/>
  <c r="C18" i="25"/>
  <c r="D6" i="12" s="1"/>
  <c r="D41" i="12"/>
  <c r="D7" i="12"/>
  <c r="J27" i="18"/>
  <c r="D36" i="17"/>
  <c r="D27" i="4"/>
  <c r="F4" i="9"/>
  <c r="H15" i="12"/>
  <c r="D8" i="12"/>
  <c r="D5" i="12"/>
  <c r="H41" i="12"/>
  <c r="W57" i="25"/>
  <c r="V57" i="25"/>
  <c r="U57" i="25"/>
  <c r="U58" i="25" s="1"/>
  <c r="W55" i="5" s="1"/>
  <c r="T57" i="25"/>
  <c r="S57" i="25"/>
  <c r="R57" i="25"/>
  <c r="R58" i="25" s="1"/>
  <c r="Q57" i="25"/>
  <c r="P57" i="25"/>
  <c r="O57" i="25"/>
  <c r="N57" i="25"/>
  <c r="M57" i="25"/>
  <c r="M58" i="25" s="1"/>
  <c r="L57" i="25"/>
  <c r="K57" i="25"/>
  <c r="J57" i="25"/>
  <c r="I57" i="25"/>
  <c r="H57" i="25"/>
  <c r="G57" i="25"/>
  <c r="F57" i="25"/>
  <c r="E57" i="25"/>
  <c r="D57" i="25"/>
  <c r="C57" i="25"/>
  <c r="J58" i="25" s="1"/>
  <c r="D21" i="12"/>
  <c r="H42" i="12"/>
  <c r="C41" i="25"/>
  <c r="E14" i="4"/>
  <c r="F14" i="4"/>
  <c r="F3" i="18"/>
  <c r="E3" i="18"/>
  <c r="D3" i="18"/>
  <c r="C11" i="25"/>
  <c r="D8" i="18"/>
  <c r="E8" i="18"/>
  <c r="D11" i="18"/>
  <c r="E11" i="18"/>
  <c r="H4" i="9"/>
  <c r="I4" i="9"/>
  <c r="J4" i="9"/>
  <c r="K4" i="9"/>
  <c r="L4" i="9"/>
  <c r="M4" i="9"/>
  <c r="N4" i="9"/>
  <c r="O4" i="9"/>
  <c r="P4" i="9"/>
  <c r="Q4" i="9"/>
  <c r="R4" i="9"/>
  <c r="S4" i="9"/>
  <c r="T4" i="9"/>
  <c r="U4" i="9"/>
  <c r="V4" i="9"/>
  <c r="W4" i="9"/>
  <c r="X4" i="9"/>
  <c r="Y4" i="9"/>
  <c r="Z4" i="9"/>
  <c r="G4" i="9"/>
  <c r="J26" i="18"/>
  <c r="C24" i="25"/>
  <c r="X10" i="4" s="1"/>
  <c r="Y10" i="4" s="1"/>
  <c r="C20" i="25"/>
  <c r="D28" i="5" s="1"/>
  <c r="C19" i="25"/>
  <c r="C63" i="25" s="1"/>
  <c r="D45" i="12" s="1"/>
  <c r="H6" i="9"/>
  <c r="I6" i="9"/>
  <c r="J6" i="9" s="1"/>
  <c r="K6" i="9" s="1"/>
  <c r="L6" i="9" s="1"/>
  <c r="M6" i="9" s="1"/>
  <c r="N6" i="9" s="1"/>
  <c r="O6" i="9" s="1"/>
  <c r="P6" i="9"/>
  <c r="Q6" i="9" s="1"/>
  <c r="R6" i="9" s="1"/>
  <c r="S6" i="9" s="1"/>
  <c r="T6" i="9" s="1"/>
  <c r="U6" i="9" s="1"/>
  <c r="V6" i="9" s="1"/>
  <c r="W6" i="9" s="1"/>
  <c r="X6" i="9" s="1"/>
  <c r="Y6" i="9" s="1"/>
  <c r="Z6" i="9" s="1"/>
  <c r="C26" i="10"/>
  <c r="D18" i="11"/>
  <c r="D6" i="17"/>
  <c r="O14" i="4"/>
  <c r="P14" i="4"/>
  <c r="Q14" i="4"/>
  <c r="R14" i="4"/>
  <c r="S14" i="4"/>
  <c r="T14" i="4"/>
  <c r="U14" i="4"/>
  <c r="V14" i="4"/>
  <c r="W14" i="4"/>
  <c r="X14" i="4"/>
  <c r="G14" i="4"/>
  <c r="H14" i="4"/>
  <c r="I14" i="4"/>
  <c r="J14" i="4"/>
  <c r="K14" i="4"/>
  <c r="L14" i="4"/>
  <c r="M14" i="4"/>
  <c r="N14" i="4"/>
  <c r="B1" i="20"/>
  <c r="Y11" i="5"/>
  <c r="Y17" i="5"/>
  <c r="Y19" i="5"/>
  <c r="Y20" i="5"/>
  <c r="AA28" i="9"/>
  <c r="T10" i="11"/>
  <c r="U10" i="11"/>
  <c r="V10" i="11"/>
  <c r="W10" i="11"/>
  <c r="X10" i="11"/>
  <c r="Y18" i="17"/>
  <c r="Y32" i="17"/>
  <c r="E8" i="11"/>
  <c r="Y11" i="4"/>
  <c r="Y21" i="4"/>
  <c r="E40" i="4"/>
  <c r="E83" i="4" s="1"/>
  <c r="F40" i="4"/>
  <c r="F83" i="4" s="1"/>
  <c r="G40" i="4"/>
  <c r="G83" i="4"/>
  <c r="H40" i="4"/>
  <c r="H83" i="4"/>
  <c r="I40" i="4"/>
  <c r="I83" i="4"/>
  <c r="J40" i="4"/>
  <c r="J83" i="4" s="1"/>
  <c r="K40" i="4"/>
  <c r="K83" i="4" s="1"/>
  <c r="L40" i="4"/>
  <c r="L83" i="4" s="1"/>
  <c r="M40" i="4"/>
  <c r="M83" i="4" s="1"/>
  <c r="N40" i="4"/>
  <c r="N83" i="4" s="1"/>
  <c r="O40" i="4"/>
  <c r="O83" i="4"/>
  <c r="P40" i="4"/>
  <c r="P83" i="4"/>
  <c r="Q40" i="4"/>
  <c r="Q83" i="4"/>
  <c r="R40" i="4"/>
  <c r="R83" i="4" s="1"/>
  <c r="S40" i="4"/>
  <c r="S83" i="4" s="1"/>
  <c r="T40" i="4"/>
  <c r="T83" i="4" s="1"/>
  <c r="U40" i="4"/>
  <c r="U83" i="4" s="1"/>
  <c r="V40" i="4"/>
  <c r="V83" i="4" s="1"/>
  <c r="W40" i="4"/>
  <c r="W83" i="4"/>
  <c r="X40" i="4"/>
  <c r="X83" i="4"/>
  <c r="F46" i="4"/>
  <c r="Y48" i="4"/>
  <c r="F86" i="4"/>
  <c r="G86" i="4"/>
  <c r="H86" i="4"/>
  <c r="I86" i="4"/>
  <c r="J86" i="4"/>
  <c r="K86" i="4"/>
  <c r="L86" i="4"/>
  <c r="M86" i="4"/>
  <c r="N86" i="4"/>
  <c r="O86" i="4"/>
  <c r="P86" i="4"/>
  <c r="Q86" i="4"/>
  <c r="R86" i="4"/>
  <c r="S86" i="4"/>
  <c r="T86" i="4"/>
  <c r="U86" i="4"/>
  <c r="V86" i="4"/>
  <c r="W86" i="4"/>
  <c r="D4" i="9"/>
  <c r="F8" i="18"/>
  <c r="H19" i="18"/>
  <c r="G20" i="18"/>
  <c r="H20" i="18"/>
  <c r="Y47" i="4"/>
  <c r="AA13" i="9"/>
  <c r="C4" i="10"/>
  <c r="D4" i="4"/>
  <c r="D40" i="4"/>
  <c r="D83" i="4" s="1"/>
  <c r="D4" i="11"/>
  <c r="E4" i="9"/>
  <c r="D4" i="17"/>
  <c r="D28" i="12"/>
  <c r="D27" i="12" s="1"/>
  <c r="G6" i="9"/>
  <c r="G7" i="9" s="1"/>
  <c r="E4" i="11"/>
  <c r="F4" i="5"/>
  <c r="F4" i="11" s="1"/>
  <c r="E4" i="17"/>
  <c r="D20" i="11"/>
  <c r="D21" i="11"/>
  <c r="E13" i="4"/>
  <c r="Y13" i="4" s="1"/>
  <c r="M10" i="17"/>
  <c r="I59" i="25"/>
  <c r="K56" i="5" s="1"/>
  <c r="J12" i="5" s="1"/>
  <c r="F10" i="17"/>
  <c r="H7" i="9"/>
  <c r="H8" i="9" s="1"/>
  <c r="D38" i="12"/>
  <c r="F59" i="25"/>
  <c r="H56" i="5" s="1"/>
  <c r="G12" i="5" s="1"/>
  <c r="F26" i="5"/>
  <c r="G4" i="5"/>
  <c r="G4" i="11" s="1"/>
  <c r="H4" i="5"/>
  <c r="G26" i="5"/>
  <c r="G4" i="17"/>
  <c r="H48" i="5"/>
  <c r="T10" i="17"/>
  <c r="V14" i="17"/>
  <c r="V16" i="4" s="1"/>
  <c r="V54" i="4" s="1"/>
  <c r="W58" i="25"/>
  <c r="Y55" i="5" s="1"/>
  <c r="N59" i="25"/>
  <c r="P56" i="5" s="1"/>
  <c r="O12" i="5" s="1"/>
  <c r="G59" i="25"/>
  <c r="I56" i="5" s="1"/>
  <c r="H12" i="5" s="1"/>
  <c r="E59" i="25"/>
  <c r="G56" i="5"/>
  <c r="F12" i="5" s="1"/>
  <c r="O59" i="25"/>
  <c r="Q56" i="5" s="1"/>
  <c r="P12" i="5" s="1"/>
  <c r="V58" i="25"/>
  <c r="W14" i="17" s="1"/>
  <c r="W16" i="4" s="1"/>
  <c r="H58" i="25"/>
  <c r="Q59" i="25"/>
  <c r="S56" i="5" s="1"/>
  <c r="R12" i="5" s="1"/>
  <c r="U59" i="25"/>
  <c r="W56" i="5" s="1"/>
  <c r="V12" i="5" s="1"/>
  <c r="G8" i="9"/>
  <c r="E10" i="17"/>
  <c r="H10" i="17"/>
  <c r="H6" i="12"/>
  <c r="C6" i="18" s="1"/>
  <c r="B26" i="18"/>
  <c r="D40" i="12"/>
  <c r="E6" i="4"/>
  <c r="F29" i="18"/>
  <c r="B29" i="18" s="1"/>
  <c r="J30" i="18"/>
  <c r="C29" i="18"/>
  <c r="G29" i="18"/>
  <c r="X55" i="5"/>
  <c r="W54" i="4"/>
  <c r="F6" i="18"/>
  <c r="D13" i="4" s="1"/>
  <c r="X14" i="17"/>
  <c r="X16" i="4"/>
  <c r="X54" i="4" s="1"/>
  <c r="E9" i="10"/>
  <c r="F9" i="10"/>
  <c r="D9" i="10"/>
  <c r="E43" i="4"/>
  <c r="J55" i="5" l="1"/>
  <c r="I14" i="17"/>
  <c r="I16" i="4" s="1"/>
  <c r="I54" i="4" s="1"/>
  <c r="N14" i="17"/>
  <c r="N16" i="4" s="1"/>
  <c r="N54" i="4" s="1"/>
  <c r="O55" i="5"/>
  <c r="U10" i="17"/>
  <c r="F6" i="4"/>
  <c r="H37" i="9"/>
  <c r="O9" i="10"/>
  <c r="K9" i="10"/>
  <c r="H9" i="10"/>
  <c r="M9" i="10"/>
  <c r="I9" i="10"/>
  <c r="E6" i="18"/>
  <c r="D6" i="18"/>
  <c r="I4" i="5"/>
  <c r="H26" i="5"/>
  <c r="H4" i="17"/>
  <c r="H4" i="11"/>
  <c r="D50" i="5"/>
  <c r="F52" i="5" s="1"/>
  <c r="G36" i="9"/>
  <c r="G38" i="9" s="1"/>
  <c r="L9" i="10"/>
  <c r="O10" i="17"/>
  <c r="G37" i="9"/>
  <c r="F51" i="5"/>
  <c r="G48" i="5"/>
  <c r="T55" i="5"/>
  <c r="S14" i="17"/>
  <c r="S16" i="4" s="1"/>
  <c r="S54" i="4" s="1"/>
  <c r="K14" i="17"/>
  <c r="K16" i="4" s="1"/>
  <c r="K54" i="4" s="1"/>
  <c r="L55" i="5"/>
  <c r="P59" i="25"/>
  <c r="R56" i="5" s="1"/>
  <c r="Q12" i="5" s="1"/>
  <c r="V59" i="25"/>
  <c r="X56" i="5" s="1"/>
  <c r="W12" i="5" s="1"/>
  <c r="M59" i="25"/>
  <c r="O56" i="5" s="1"/>
  <c r="N12" i="5" s="1"/>
  <c r="T58" i="25"/>
  <c r="H59" i="25"/>
  <c r="J56" i="5" s="1"/>
  <c r="I12" i="5" s="1"/>
  <c r="L59" i="25"/>
  <c r="N56" i="5" s="1"/>
  <c r="M12" i="5" s="1"/>
  <c r="R59" i="25"/>
  <c r="T56" i="5" s="1"/>
  <c r="S12" i="5" s="1"/>
  <c r="W59" i="25"/>
  <c r="Y56" i="5" s="1"/>
  <c r="X12" i="5" s="1"/>
  <c r="D59" i="25"/>
  <c r="F56" i="5" s="1"/>
  <c r="E12" i="5" s="1"/>
  <c r="I58" i="25"/>
  <c r="S59" i="25"/>
  <c r="U56" i="5" s="1"/>
  <c r="T12" i="5" s="1"/>
  <c r="D58" i="25"/>
  <c r="J59" i="25"/>
  <c r="L56" i="5" s="1"/>
  <c r="K12" i="5" s="1"/>
  <c r="G58" i="25"/>
  <c r="P58" i="25"/>
  <c r="E58" i="25"/>
  <c r="S58" i="25"/>
  <c r="F58" i="25"/>
  <c r="L58" i="25"/>
  <c r="C58" i="25"/>
  <c r="N58" i="25"/>
  <c r="K58" i="25"/>
  <c r="Q58" i="25"/>
  <c r="T59" i="25"/>
  <c r="V56" i="5" s="1"/>
  <c r="U12" i="5" s="1"/>
  <c r="C59" i="25"/>
  <c r="K59" i="25"/>
  <c r="M56" i="5" s="1"/>
  <c r="L12" i="5" s="1"/>
  <c r="L10" i="17"/>
  <c r="F4" i="17"/>
  <c r="I7" i="9"/>
  <c r="J7" i="9" s="1"/>
  <c r="O58" i="25"/>
  <c r="T9" i="10"/>
  <c r="C8" i="18"/>
  <c r="Q9" i="10"/>
  <c r="E58" i="4"/>
  <c r="I55" i="5" l="1"/>
  <c r="H14" i="17"/>
  <c r="H16" i="4" s="1"/>
  <c r="H54" i="4" s="1"/>
  <c r="U9" i="10"/>
  <c r="N9" i="10"/>
  <c r="V9" i="10"/>
  <c r="H55" i="5"/>
  <c r="G14" i="17"/>
  <c r="G16" i="4" s="1"/>
  <c r="G54" i="4" s="1"/>
  <c r="R55" i="5"/>
  <c r="Q14" i="17"/>
  <c r="Q16" i="4" s="1"/>
  <c r="Q54" i="4" s="1"/>
  <c r="I48" i="5"/>
  <c r="K55" i="5"/>
  <c r="J14" i="17"/>
  <c r="J16" i="4" s="1"/>
  <c r="J54" i="4" s="1"/>
  <c r="H6" i="18"/>
  <c r="P14" i="17"/>
  <c r="P16" i="4" s="1"/>
  <c r="P54" i="4" s="1"/>
  <c r="Q55" i="5"/>
  <c r="J8" i="9"/>
  <c r="K7" i="9"/>
  <c r="F8" i="4"/>
  <c r="F45" i="4"/>
  <c r="F8" i="17" s="1"/>
  <c r="F43" i="4"/>
  <c r="Y12" i="5"/>
  <c r="T14" i="17"/>
  <c r="T16" i="4" s="1"/>
  <c r="T54" i="4" s="1"/>
  <c r="U55" i="5"/>
  <c r="G52" i="5"/>
  <c r="G51" i="5"/>
  <c r="E14" i="17"/>
  <c r="E16" i="4" s="1"/>
  <c r="F55" i="5"/>
  <c r="J4" i="5"/>
  <c r="I4" i="11"/>
  <c r="I26" i="5"/>
  <c r="I4" i="17"/>
  <c r="I8" i="9"/>
  <c r="S55" i="5"/>
  <c r="R14" i="17"/>
  <c r="R16" i="4" s="1"/>
  <c r="R54" i="4" s="1"/>
  <c r="E8" i="4"/>
  <c r="E45" i="4"/>
  <c r="G39" i="9"/>
  <c r="G40" i="9" s="1"/>
  <c r="H39" i="9"/>
  <c r="H41" i="9" s="1"/>
  <c r="H12" i="9" s="1"/>
  <c r="H38" i="9"/>
  <c r="M55" i="5"/>
  <c r="L14" i="17"/>
  <c r="L16" i="4" s="1"/>
  <c r="L54" i="4" s="1"/>
  <c r="S9" i="10"/>
  <c r="D14" i="17"/>
  <c r="E55" i="5"/>
  <c r="E57" i="5" s="1"/>
  <c r="D25" i="12"/>
  <c r="D7" i="10"/>
  <c r="C18" i="18"/>
  <c r="G18" i="18" s="1"/>
  <c r="J29" i="18"/>
  <c r="J31" i="18" s="1"/>
  <c r="C13" i="18"/>
  <c r="G13" i="18" s="1"/>
  <c r="F14" i="17"/>
  <c r="F16" i="4" s="1"/>
  <c r="F54" i="4" s="1"/>
  <c r="G55" i="5"/>
  <c r="P55" i="5"/>
  <c r="O14" i="17"/>
  <c r="O16" i="4" s="1"/>
  <c r="O54" i="4" s="1"/>
  <c r="W9" i="10"/>
  <c r="U14" i="17"/>
  <c r="U16" i="4" s="1"/>
  <c r="U54" i="4" s="1"/>
  <c r="V55" i="5"/>
  <c r="P9" i="10"/>
  <c r="R9" i="10"/>
  <c r="N55" i="5"/>
  <c r="M14" i="17"/>
  <c r="M16" i="4" s="1"/>
  <c r="M54" i="4" s="1"/>
  <c r="F7" i="4" l="1"/>
  <c r="F5" i="4" s="1"/>
  <c r="F44" i="4"/>
  <c r="F7" i="17"/>
  <c r="F6" i="17" s="1"/>
  <c r="G11" i="9"/>
  <c r="E15" i="4"/>
  <c r="G10" i="9"/>
  <c r="E55" i="4"/>
  <c r="G8" i="18"/>
  <c r="H13" i="18"/>
  <c r="E93" i="4"/>
  <c r="E91" i="4" s="1"/>
  <c r="G41" i="9"/>
  <c r="G12" i="9" s="1"/>
  <c r="F42" i="4"/>
  <c r="E7" i="10"/>
  <c r="G6" i="4"/>
  <c r="I37" i="9"/>
  <c r="J32" i="18"/>
  <c r="B24" i="18" s="1"/>
  <c r="B27" i="18" s="1"/>
  <c r="B25" i="18"/>
  <c r="M14" i="10"/>
  <c r="L14" i="10"/>
  <c r="H18" i="18"/>
  <c r="W14" i="10"/>
  <c r="S14" i="10"/>
  <c r="J14" i="10"/>
  <c r="E21" i="17"/>
  <c r="E14" i="10"/>
  <c r="G14" i="10"/>
  <c r="U14" i="10"/>
  <c r="P14" i="10"/>
  <c r="E13" i="11"/>
  <c r="O14" i="10"/>
  <c r="R14" i="10"/>
  <c r="K14" i="10"/>
  <c r="N14" i="10"/>
  <c r="D14" i="10"/>
  <c r="F14" i="10"/>
  <c r="V14" i="10"/>
  <c r="Q14" i="10"/>
  <c r="T14" i="10"/>
  <c r="H14" i="10"/>
  <c r="I14" i="10"/>
  <c r="H40" i="9"/>
  <c r="F57" i="5"/>
  <c r="C12" i="10"/>
  <c r="J48" i="5"/>
  <c r="D11" i="17"/>
  <c r="D5" i="17" s="1"/>
  <c r="Y14" i="17"/>
  <c r="D16" i="4"/>
  <c r="H51" i="5"/>
  <c r="H52" i="5" s="1"/>
  <c r="E8" i="17"/>
  <c r="J26" i="5"/>
  <c r="K4" i="5"/>
  <c r="J4" i="17"/>
  <c r="J4" i="11"/>
  <c r="L7" i="9"/>
  <c r="K8" i="9"/>
  <c r="J37" i="9"/>
  <c r="H6" i="4"/>
  <c r="I39" i="9"/>
  <c r="I38" i="9"/>
  <c r="I51" i="5" l="1"/>
  <c r="I52" i="5" s="1"/>
  <c r="L8" i="9"/>
  <c r="M7" i="9"/>
  <c r="G57" i="5"/>
  <c r="D12" i="10"/>
  <c r="G43" i="4"/>
  <c r="F15" i="4"/>
  <c r="H10" i="9"/>
  <c r="H9" i="9" s="1"/>
  <c r="F55" i="4"/>
  <c r="F16" i="17" s="1"/>
  <c r="H11" i="9"/>
  <c r="F7" i="10"/>
  <c r="E7" i="4"/>
  <c r="E44" i="4"/>
  <c r="E7" i="17"/>
  <c r="E6" i="17" s="1"/>
  <c r="G5" i="18"/>
  <c r="H8" i="18"/>
  <c r="D14" i="4" s="1"/>
  <c r="E26" i="17"/>
  <c r="J39" i="9"/>
  <c r="J38" i="9"/>
  <c r="C30" i="18"/>
  <c r="F30" i="18"/>
  <c r="F31" i="18" s="1"/>
  <c r="G30" i="18"/>
  <c r="G31" i="18" s="1"/>
  <c r="B28" i="18"/>
  <c r="D43" i="12"/>
  <c r="G9" i="9"/>
  <c r="E16" i="17"/>
  <c r="K4" i="17"/>
  <c r="L4" i="5"/>
  <c r="K26" i="5"/>
  <c r="K4" i="11"/>
  <c r="H43" i="4"/>
  <c r="F13" i="11"/>
  <c r="E16" i="11"/>
  <c r="E15" i="5" s="1"/>
  <c r="K48" i="5"/>
  <c r="J41" i="9"/>
  <c r="J12" i="9" s="1"/>
  <c r="J40" i="9"/>
  <c r="H45" i="4"/>
  <c r="H8" i="17" s="1"/>
  <c r="H8" i="4"/>
  <c r="G8" i="4"/>
  <c r="I40" i="9"/>
  <c r="G45" i="4"/>
  <c r="I41" i="9"/>
  <c r="I12" i="9" s="1"/>
  <c r="I6" i="4"/>
  <c r="K37" i="9"/>
  <c r="J51" i="5" l="1"/>
  <c r="J52" i="5" s="1"/>
  <c r="Y14" i="4"/>
  <c r="D12" i="4"/>
  <c r="D22" i="4" s="1"/>
  <c r="E56" i="4"/>
  <c r="E18" i="4"/>
  <c r="I10" i="9"/>
  <c r="I9" i="9" s="1"/>
  <c r="G55" i="4"/>
  <c r="G15" i="4"/>
  <c r="I11" i="9"/>
  <c r="H55" i="4"/>
  <c r="H16" i="17" s="1"/>
  <c r="H15" i="4"/>
  <c r="J11" i="9"/>
  <c r="J10" i="9"/>
  <c r="G13" i="11"/>
  <c r="F16" i="11"/>
  <c r="F15" i="5" s="1"/>
  <c r="H7" i="4"/>
  <c r="H5" i="4" s="1"/>
  <c r="H44" i="4"/>
  <c r="H7" i="17"/>
  <c r="H6" i="17" s="1"/>
  <c r="E16" i="18"/>
  <c r="E42" i="4"/>
  <c r="H57" i="5"/>
  <c r="E12" i="10"/>
  <c r="F56" i="4"/>
  <c r="F13" i="17" s="1"/>
  <c r="F18" i="4"/>
  <c r="L48" i="5"/>
  <c r="B30" i="18"/>
  <c r="C31" i="18"/>
  <c r="E5" i="4"/>
  <c r="N7" i="9"/>
  <c r="M8" i="9"/>
  <c r="L4" i="17"/>
  <c r="M4" i="5"/>
  <c r="L4" i="11"/>
  <c r="L26" i="5"/>
  <c r="J6" i="4"/>
  <c r="L37" i="9"/>
  <c r="I43" i="4"/>
  <c r="H42" i="4"/>
  <c r="F16" i="18"/>
  <c r="K39" i="9"/>
  <c r="K41" i="9" s="1"/>
  <c r="K12" i="9" s="1"/>
  <c r="K38" i="9"/>
  <c r="G44" i="4"/>
  <c r="G7" i="4"/>
  <c r="G5" i="4" s="1"/>
  <c r="G7" i="17"/>
  <c r="G6" i="17" s="1"/>
  <c r="G8" i="17"/>
  <c r="G42" i="4"/>
  <c r="I45" i="4"/>
  <c r="I8" i="17" s="1"/>
  <c r="I8" i="4"/>
  <c r="G7" i="10"/>
  <c r="I7" i="4" l="1"/>
  <c r="I44" i="4"/>
  <c r="I7" i="17"/>
  <c r="I6" i="17" s="1"/>
  <c r="K51" i="5"/>
  <c r="K52" i="5"/>
  <c r="E13" i="17"/>
  <c r="H13" i="11"/>
  <c r="G16" i="11"/>
  <c r="G15" i="5" s="1"/>
  <c r="K40" i="9"/>
  <c r="J9" i="9"/>
  <c r="G56" i="4"/>
  <c r="G13" i="17" s="1"/>
  <c r="G18" i="4"/>
  <c r="B31" i="18"/>
  <c r="C32" i="18"/>
  <c r="D16" i="18"/>
  <c r="D23" i="4"/>
  <c r="D25" i="4"/>
  <c r="J45" i="4"/>
  <c r="J8" i="4"/>
  <c r="D7" i="11"/>
  <c r="J43" i="4"/>
  <c r="L39" i="9"/>
  <c r="L41" i="9" s="1"/>
  <c r="L12" i="9" s="1"/>
  <c r="L38" i="9"/>
  <c r="G16" i="17"/>
  <c r="O7" i="9"/>
  <c r="N8" i="9"/>
  <c r="I42" i="4"/>
  <c r="H7" i="10"/>
  <c r="M37" i="9"/>
  <c r="K6" i="4"/>
  <c r="M48" i="5"/>
  <c r="N4" i="5"/>
  <c r="M26" i="5"/>
  <c r="M4" i="17"/>
  <c r="M4" i="11"/>
  <c r="I57" i="5"/>
  <c r="F12" i="10"/>
  <c r="J7" i="4" l="1"/>
  <c r="J5" i="4" s="1"/>
  <c r="J44" i="4"/>
  <c r="J7" i="17"/>
  <c r="H56" i="4"/>
  <c r="H18" i="4"/>
  <c r="D17" i="18"/>
  <c r="D7" i="18"/>
  <c r="F32" i="18"/>
  <c r="J42" i="4"/>
  <c r="J57" i="5"/>
  <c r="G12" i="10"/>
  <c r="H16" i="11"/>
  <c r="H15" i="5" s="1"/>
  <c r="I13" i="11"/>
  <c r="I5" i="4"/>
  <c r="K45" i="4"/>
  <c r="K8" i="17" s="1"/>
  <c r="K8" i="4"/>
  <c r="L51" i="5"/>
  <c r="L52" i="5" s="1"/>
  <c r="I7" i="10"/>
  <c r="L40" i="9"/>
  <c r="N37" i="9"/>
  <c r="L6" i="4"/>
  <c r="J8" i="17"/>
  <c r="P7" i="9"/>
  <c r="O8" i="9"/>
  <c r="D26" i="4"/>
  <c r="K43" i="4"/>
  <c r="I15" i="4"/>
  <c r="I55" i="4"/>
  <c r="K11" i="9"/>
  <c r="K10" i="9"/>
  <c r="N48" i="5"/>
  <c r="N26" i="5"/>
  <c r="N4" i="17"/>
  <c r="N4" i="11"/>
  <c r="O4" i="5"/>
  <c r="M38" i="9"/>
  <c r="M39" i="9"/>
  <c r="M40" i="9" s="1"/>
  <c r="M11" i="9" l="1"/>
  <c r="K15" i="4"/>
  <c r="K55" i="4"/>
  <c r="K16" i="17" s="1"/>
  <c r="M10" i="9"/>
  <c r="M51" i="5"/>
  <c r="M52" i="5" s="1"/>
  <c r="E17" i="18"/>
  <c r="E7" i="18"/>
  <c r="M6" i="4"/>
  <c r="O37" i="9"/>
  <c r="M41" i="9"/>
  <c r="M12" i="9" s="1"/>
  <c r="P8" i="9"/>
  <c r="Q7" i="9"/>
  <c r="O48" i="5"/>
  <c r="H13" i="17"/>
  <c r="L10" i="9"/>
  <c r="J15" i="4"/>
  <c r="J55" i="4"/>
  <c r="J16" i="17" s="1"/>
  <c r="L11" i="9"/>
  <c r="D5" i="18"/>
  <c r="G32" i="18"/>
  <c r="N38" i="9"/>
  <c r="N39" i="9"/>
  <c r="O4" i="11"/>
  <c r="P4" i="5"/>
  <c r="O4" i="17"/>
  <c r="O26" i="5"/>
  <c r="D15" i="18"/>
  <c r="B32" i="18"/>
  <c r="C7" i="18" s="1"/>
  <c r="J7" i="10"/>
  <c r="K9" i="9"/>
  <c r="I16" i="11"/>
  <c r="I15" i="5" s="1"/>
  <c r="J13" i="11"/>
  <c r="J6" i="17"/>
  <c r="L43" i="4"/>
  <c r="I16" i="17"/>
  <c r="L8" i="4"/>
  <c r="L45" i="4"/>
  <c r="N40" i="9"/>
  <c r="N41" i="9"/>
  <c r="N12" i="9" s="1"/>
  <c r="K57" i="5"/>
  <c r="H12" i="10"/>
  <c r="N51" i="5" l="1"/>
  <c r="N52" i="5" s="1"/>
  <c r="L9" i="9"/>
  <c r="E15" i="18"/>
  <c r="E14" i="18" s="1"/>
  <c r="E10" i="18" s="1"/>
  <c r="E5" i="18"/>
  <c r="C5" i="18"/>
  <c r="D23" i="12" s="1"/>
  <c r="D39" i="12" s="1"/>
  <c r="C9" i="18"/>
  <c r="P48" i="5"/>
  <c r="L55" i="4"/>
  <c r="L16" i="17" s="1"/>
  <c r="L15" i="4"/>
  <c r="N11" i="9"/>
  <c r="N10" i="9"/>
  <c r="L57" i="5"/>
  <c r="I12" i="10"/>
  <c r="I18" i="4"/>
  <c r="I56" i="4"/>
  <c r="M43" i="4"/>
  <c r="L7" i="4"/>
  <c r="L5" i="4" s="1"/>
  <c r="L44" i="4"/>
  <c r="L7" i="17"/>
  <c r="L6" i="17" s="1"/>
  <c r="K7" i="10"/>
  <c r="L42" i="4"/>
  <c r="P4" i="17"/>
  <c r="P26" i="5"/>
  <c r="Q4" i="5"/>
  <c r="P4" i="11"/>
  <c r="N6" i="4"/>
  <c r="P37" i="9"/>
  <c r="J16" i="11"/>
  <c r="J15" i="5" s="1"/>
  <c r="K13" i="11"/>
  <c r="O38" i="9"/>
  <c r="O39" i="9"/>
  <c r="K44" i="4"/>
  <c r="K7" i="4"/>
  <c r="K7" i="17"/>
  <c r="K6" i="17" s="1"/>
  <c r="L8" i="17"/>
  <c r="D14" i="18"/>
  <c r="R7" i="9"/>
  <c r="Q8" i="9"/>
  <c r="M9" i="9"/>
  <c r="F7" i="18"/>
  <c r="F17" i="18"/>
  <c r="F15" i="18" s="1"/>
  <c r="F14" i="18" s="1"/>
  <c r="M45" i="4"/>
  <c r="M8" i="17" s="1"/>
  <c r="M8" i="4"/>
  <c r="O40" i="9"/>
  <c r="O41" i="9"/>
  <c r="O12" i="9" s="1"/>
  <c r="O51" i="5" l="1"/>
  <c r="O52" i="5" s="1"/>
  <c r="M7" i="4"/>
  <c r="M5" i="4" s="1"/>
  <c r="M44" i="4"/>
  <c r="M42" i="4" s="1"/>
  <c r="M7" i="17"/>
  <c r="M6" i="17" s="1"/>
  <c r="L7" i="10"/>
  <c r="O11" i="9"/>
  <c r="O10" i="9"/>
  <c r="O9" i="9" s="1"/>
  <c r="M15" i="4"/>
  <c r="M55" i="4"/>
  <c r="M16" i="17" s="1"/>
  <c r="K42" i="4"/>
  <c r="L13" i="11"/>
  <c r="K16" i="11"/>
  <c r="K15" i="5" s="1"/>
  <c r="D29" i="5"/>
  <c r="C15" i="18"/>
  <c r="C12" i="18"/>
  <c r="H7" i="12"/>
  <c r="D10" i="12" s="1"/>
  <c r="H33" i="12" s="1"/>
  <c r="K56" i="4"/>
  <c r="K13" i="17" s="1"/>
  <c r="K18" i="4"/>
  <c r="N45" i="4"/>
  <c r="N8" i="4"/>
  <c r="R8" i="9"/>
  <c r="S7" i="9"/>
  <c r="N43" i="4"/>
  <c r="I13" i="17"/>
  <c r="K5" i="4"/>
  <c r="P38" i="9"/>
  <c r="P39" i="9"/>
  <c r="P40" i="9" s="1"/>
  <c r="D8" i="11"/>
  <c r="D6" i="11" s="1"/>
  <c r="F5" i="18"/>
  <c r="H7" i="18"/>
  <c r="D24" i="12" s="1"/>
  <c r="O6" i="4"/>
  <c r="Q37" i="9"/>
  <c r="J18" i="4"/>
  <c r="J56" i="4"/>
  <c r="J13" i="17" s="1"/>
  <c r="M57" i="5"/>
  <c r="J12" i="10"/>
  <c r="D10" i="18"/>
  <c r="Q4" i="17"/>
  <c r="R4" i="5"/>
  <c r="Q4" i="11"/>
  <c r="Q26" i="5"/>
  <c r="Q48" i="5"/>
  <c r="P30" i="5"/>
  <c r="P6" i="5" s="1"/>
  <c r="N9" i="9"/>
  <c r="P10" i="9" l="1"/>
  <c r="N15" i="4"/>
  <c r="P11" i="9"/>
  <c r="N55" i="4"/>
  <c r="N16" i="17" s="1"/>
  <c r="P51" i="5"/>
  <c r="P52" i="5" s="1"/>
  <c r="N57" i="5"/>
  <c r="K12" i="10"/>
  <c r="C15" i="10"/>
  <c r="E7" i="11"/>
  <c r="E6" i="11" s="1"/>
  <c r="D20" i="17"/>
  <c r="R4" i="11"/>
  <c r="S4" i="5"/>
  <c r="R4" i="17"/>
  <c r="R26" i="5"/>
  <c r="N8" i="17"/>
  <c r="C10" i="10"/>
  <c r="C5" i="10" s="1"/>
  <c r="H5" i="18"/>
  <c r="Q39" i="9"/>
  <c r="Q40" i="9" s="1"/>
  <c r="Q38" i="9"/>
  <c r="M18" i="4"/>
  <c r="M56" i="4"/>
  <c r="M13" i="17" s="1"/>
  <c r="M7" i="10"/>
  <c r="L18" i="4"/>
  <c r="L56" i="4"/>
  <c r="L13" i="17" s="1"/>
  <c r="S8" i="9"/>
  <c r="T7" i="9"/>
  <c r="C11" i="18"/>
  <c r="G12" i="18"/>
  <c r="F12" i="18"/>
  <c r="R37" i="9"/>
  <c r="P6" i="4"/>
  <c r="C14" i="18"/>
  <c r="E35" i="11"/>
  <c r="O8" i="4"/>
  <c r="O45" i="4"/>
  <c r="O8" i="17" s="1"/>
  <c r="Q41" i="9"/>
  <c r="Q12" i="9" s="1"/>
  <c r="N7" i="5"/>
  <c r="J7" i="5"/>
  <c r="F7" i="5"/>
  <c r="E30" i="5"/>
  <c r="E6" i="5" s="1"/>
  <c r="W7" i="5"/>
  <c r="Q7" i="5"/>
  <c r="L7" i="5"/>
  <c r="P7" i="5"/>
  <c r="I7" i="5"/>
  <c r="R7" i="5"/>
  <c r="V7" i="5"/>
  <c r="G7" i="5"/>
  <c r="H7" i="5"/>
  <c r="U7" i="5"/>
  <c r="K7" i="5"/>
  <c r="M7" i="5"/>
  <c r="X7" i="5"/>
  <c r="E7" i="5"/>
  <c r="G30" i="5"/>
  <c r="G6" i="5" s="1"/>
  <c r="S7" i="5"/>
  <c r="T7" i="5"/>
  <c r="O7" i="5"/>
  <c r="F30" i="5"/>
  <c r="F6" i="5" s="1"/>
  <c r="H30" i="5"/>
  <c r="H6" i="5" s="1"/>
  <c r="I30" i="5"/>
  <c r="I6" i="5" s="1"/>
  <c r="J30" i="5"/>
  <c r="J6" i="5" s="1"/>
  <c r="K30" i="5"/>
  <c r="K6" i="5" s="1"/>
  <c r="L30" i="5"/>
  <c r="L6" i="5" s="1"/>
  <c r="M30" i="5"/>
  <c r="M6" i="5" s="1"/>
  <c r="N30" i="5"/>
  <c r="N6" i="5" s="1"/>
  <c r="O30" i="5"/>
  <c r="O6" i="5" s="1"/>
  <c r="Q30" i="5"/>
  <c r="Q6" i="5" s="1"/>
  <c r="R48" i="5"/>
  <c r="O43" i="4"/>
  <c r="P41" i="9"/>
  <c r="P12" i="9" s="1"/>
  <c r="M13" i="11"/>
  <c r="L16" i="11"/>
  <c r="L15" i="5" s="1"/>
  <c r="Q51" i="5" l="1"/>
  <c r="Q52" i="5" s="1"/>
  <c r="Q11" i="9"/>
  <c r="Q10" i="9"/>
  <c r="Q9" i="9" s="1"/>
  <c r="O15" i="4"/>
  <c r="O55" i="4"/>
  <c r="O16" i="17" s="1"/>
  <c r="N44" i="4"/>
  <c r="N7" i="4"/>
  <c r="N7" i="17"/>
  <c r="N6" i="17" s="1"/>
  <c r="H12" i="18"/>
  <c r="F11" i="18"/>
  <c r="C19" i="10"/>
  <c r="O44" i="4"/>
  <c r="O7" i="4"/>
  <c r="O5" i="4" s="1"/>
  <c r="O7" i="17"/>
  <c r="O6" i="17" s="1"/>
  <c r="E31" i="5"/>
  <c r="G11" i="18"/>
  <c r="G16" i="18"/>
  <c r="G15" i="18" s="1"/>
  <c r="R39" i="9"/>
  <c r="R40" i="9" s="1"/>
  <c r="R38" i="9"/>
  <c r="O57" i="5"/>
  <c r="L12" i="10"/>
  <c r="S37" i="9"/>
  <c r="Q6" i="4"/>
  <c r="U7" i="9"/>
  <c r="T8" i="9"/>
  <c r="F9" i="11"/>
  <c r="M9" i="11"/>
  <c r="P9" i="11"/>
  <c r="N9" i="11"/>
  <c r="O9" i="11"/>
  <c r="L9" i="11"/>
  <c r="E36" i="11"/>
  <c r="E10" i="11" s="1"/>
  <c r="Q9" i="11"/>
  <c r="I9" i="11"/>
  <c r="K9" i="11"/>
  <c r="E9" i="11"/>
  <c r="G9" i="11"/>
  <c r="S9" i="11"/>
  <c r="R9" i="11"/>
  <c r="J9" i="11"/>
  <c r="H9" i="11"/>
  <c r="R30" i="5"/>
  <c r="R6" i="5" s="1"/>
  <c r="S48" i="5"/>
  <c r="N7" i="10"/>
  <c r="S26" i="5"/>
  <c r="S4" i="17"/>
  <c r="T4" i="5"/>
  <c r="S4" i="11"/>
  <c r="E11" i="11"/>
  <c r="O42" i="4"/>
  <c r="Y7" i="5"/>
  <c r="C42" i="25" s="1"/>
  <c r="D4" i="18"/>
  <c r="C10" i="18"/>
  <c r="I11" i="18"/>
  <c r="E4" i="18"/>
  <c r="P43" i="4"/>
  <c r="P45" i="4"/>
  <c r="P8" i="17" s="1"/>
  <c r="P8" i="4"/>
  <c r="R41" i="9"/>
  <c r="R12" i="9" s="1"/>
  <c r="M16" i="11"/>
  <c r="M15" i="5" s="1"/>
  <c r="N13" i="11"/>
  <c r="P9" i="9"/>
  <c r="P55" i="4" l="1"/>
  <c r="P16" i="17" s="1"/>
  <c r="R10" i="9"/>
  <c r="P15" i="4"/>
  <c r="R11" i="9"/>
  <c r="R51" i="5"/>
  <c r="R52" i="5" s="1"/>
  <c r="O7" i="10"/>
  <c r="C18" i="10"/>
  <c r="D19" i="10"/>
  <c r="F10" i="18"/>
  <c r="D19" i="17"/>
  <c r="H11" i="18"/>
  <c r="D50" i="4"/>
  <c r="F4" i="18"/>
  <c r="H4" i="18" s="1"/>
  <c r="Q43" i="4"/>
  <c r="P44" i="4"/>
  <c r="P7" i="4"/>
  <c r="P5" i="4" s="1"/>
  <c r="P7" i="17"/>
  <c r="P6" i="17" s="1"/>
  <c r="P42" i="4"/>
  <c r="E27" i="17"/>
  <c r="N18" i="4"/>
  <c r="N56" i="4"/>
  <c r="S39" i="9"/>
  <c r="S40" i="9" s="1"/>
  <c r="S38" i="9"/>
  <c r="R6" i="4"/>
  <c r="T37" i="9"/>
  <c r="P57" i="5"/>
  <c r="M12" i="10"/>
  <c r="N42" i="4"/>
  <c r="O13" i="11"/>
  <c r="N16" i="11"/>
  <c r="N15" i="5" s="1"/>
  <c r="E25" i="17"/>
  <c r="G17" i="18"/>
  <c r="G14" i="18" s="1"/>
  <c r="H15" i="18"/>
  <c r="U8" i="9"/>
  <c r="V7" i="9"/>
  <c r="E50" i="4"/>
  <c r="E19" i="17"/>
  <c r="G4" i="18"/>
  <c r="O56" i="4"/>
  <c r="O13" i="17" s="1"/>
  <c r="O18" i="4"/>
  <c r="Q8" i="4"/>
  <c r="Q45" i="4"/>
  <c r="Q8" i="17" s="1"/>
  <c r="S41" i="9"/>
  <c r="S12" i="9" s="1"/>
  <c r="N5" i="4"/>
  <c r="E14" i="5"/>
  <c r="F7" i="11"/>
  <c r="F6" i="11" s="1"/>
  <c r="T4" i="17"/>
  <c r="U4" i="5"/>
  <c r="T4" i="11"/>
  <c r="T26" i="5"/>
  <c r="B20" i="20"/>
  <c r="E9" i="5"/>
  <c r="F31" i="5"/>
  <c r="D11" i="10"/>
  <c r="T48" i="5"/>
  <c r="S30" i="5"/>
  <c r="S6" i="5" s="1"/>
  <c r="H14" i="18" l="1"/>
  <c r="G10" i="18"/>
  <c r="Q55" i="4"/>
  <c r="Q16" i="17" s="1"/>
  <c r="S11" i="9"/>
  <c r="Q15" i="4"/>
  <c r="S10" i="9"/>
  <c r="S9" i="9" s="1"/>
  <c r="S51" i="5"/>
  <c r="S52" i="5" s="1"/>
  <c r="D25" i="17"/>
  <c r="D24" i="17" s="1"/>
  <c r="H10" i="18"/>
  <c r="E19" i="10"/>
  <c r="B14" i="20"/>
  <c r="R43" i="4"/>
  <c r="D49" i="4"/>
  <c r="Y50" i="4"/>
  <c r="D92" i="4"/>
  <c r="D91" i="4" s="1"/>
  <c r="D94" i="4" s="1"/>
  <c r="N13" i="17"/>
  <c r="T30" i="5"/>
  <c r="T6" i="5" s="1"/>
  <c r="U48" i="5"/>
  <c r="E11" i="10"/>
  <c r="C20" i="20"/>
  <c r="F9" i="5"/>
  <c r="G31" i="5"/>
  <c r="E22" i="5"/>
  <c r="O16" i="11"/>
  <c r="O15" i="5" s="1"/>
  <c r="P13" i="11"/>
  <c r="P7" i="10"/>
  <c r="W7" i="9"/>
  <c r="V8" i="9"/>
  <c r="Q57" i="5"/>
  <c r="N12" i="10"/>
  <c r="Q44" i="4"/>
  <c r="Q42" i="4" s="1"/>
  <c r="Q7" i="4"/>
  <c r="Q7" i="17"/>
  <c r="Q6" i="17" s="1"/>
  <c r="T39" i="9"/>
  <c r="T40" i="9" s="1"/>
  <c r="T38" i="9"/>
  <c r="U4" i="11"/>
  <c r="U26" i="5"/>
  <c r="U4" i="17"/>
  <c r="V4" i="5"/>
  <c r="R9" i="9"/>
  <c r="U37" i="9"/>
  <c r="S6" i="4"/>
  <c r="D15" i="10"/>
  <c r="F11" i="11"/>
  <c r="R8" i="4"/>
  <c r="R45" i="4"/>
  <c r="R8" i="17" s="1"/>
  <c r="T41" i="9"/>
  <c r="T12" i="9" s="1"/>
  <c r="T51" i="5" l="1"/>
  <c r="T52" i="5" s="1"/>
  <c r="T11" i="9"/>
  <c r="T10" i="9"/>
  <c r="T9" i="9" s="1"/>
  <c r="R55" i="4"/>
  <c r="R16" i="17" s="1"/>
  <c r="R15" i="4"/>
  <c r="S43" i="4"/>
  <c r="V4" i="17"/>
  <c r="V4" i="11"/>
  <c r="W4" i="5"/>
  <c r="V26" i="5"/>
  <c r="T6" i="4"/>
  <c r="V37" i="9"/>
  <c r="H31" i="5"/>
  <c r="F11" i="10"/>
  <c r="D20" i="20"/>
  <c r="G9" i="5"/>
  <c r="X7" i="9"/>
  <c r="W8" i="9"/>
  <c r="D22" i="17"/>
  <c r="Q7" i="10"/>
  <c r="S45" i="4"/>
  <c r="S8" i="17" s="1"/>
  <c r="S8" i="4"/>
  <c r="U41" i="9"/>
  <c r="U12" i="9" s="1"/>
  <c r="Q13" i="11"/>
  <c r="P16" i="11"/>
  <c r="P15" i="5" s="1"/>
  <c r="C14" i="20"/>
  <c r="F19" i="10"/>
  <c r="F22" i="5"/>
  <c r="R57" i="5"/>
  <c r="O12" i="10"/>
  <c r="V48" i="5"/>
  <c r="U30" i="5"/>
  <c r="U6" i="5" s="1"/>
  <c r="U39" i="9"/>
  <c r="U40" i="9" s="1"/>
  <c r="U38" i="9"/>
  <c r="F14" i="5"/>
  <c r="F36" i="11"/>
  <c r="F10" i="11" s="1"/>
  <c r="D59" i="4"/>
  <c r="P18" i="4"/>
  <c r="P56" i="4"/>
  <c r="P13" i="17" s="1"/>
  <c r="R7" i="4"/>
  <c r="R5" i="4" s="1"/>
  <c r="R44" i="4"/>
  <c r="R42" i="4" s="1"/>
  <c r="R7" i="17"/>
  <c r="R6" i="17" s="1"/>
  <c r="Q56" i="4"/>
  <c r="Q13" i="17" s="1"/>
  <c r="Q18" i="4"/>
  <c r="D95" i="4"/>
  <c r="E53" i="4"/>
  <c r="E17" i="4"/>
  <c r="Q5" i="4"/>
  <c r="U10" i="9" l="1"/>
  <c r="S55" i="4"/>
  <c r="S16" i="17" s="1"/>
  <c r="S15" i="4"/>
  <c r="U11" i="9"/>
  <c r="U51" i="5"/>
  <c r="U52" i="5"/>
  <c r="R7" i="10"/>
  <c r="E28" i="17"/>
  <c r="C16" i="10"/>
  <c r="C17" i="10" s="1"/>
  <c r="C13" i="10" s="1"/>
  <c r="C25" i="10" s="1"/>
  <c r="E18" i="11"/>
  <c r="E23" i="11" s="1"/>
  <c r="D18" i="17"/>
  <c r="D17" i="17" s="1"/>
  <c r="D33" i="17" s="1"/>
  <c r="D34" i="17" s="1"/>
  <c r="S44" i="4"/>
  <c r="S7" i="4"/>
  <c r="S5" i="4" s="1"/>
  <c r="S7" i="17"/>
  <c r="S6" i="17" s="1"/>
  <c r="S42" i="4"/>
  <c r="T43" i="4"/>
  <c r="U6" i="4"/>
  <c r="W37" i="9"/>
  <c r="W4" i="17"/>
  <c r="W26" i="5"/>
  <c r="X4" i="5"/>
  <c r="W4" i="11"/>
  <c r="G22" i="5"/>
  <c r="E12" i="4"/>
  <c r="G19" i="10"/>
  <c r="D14" i="20"/>
  <c r="R56" i="4"/>
  <c r="R13" i="17" s="1"/>
  <c r="R18" i="4"/>
  <c r="D60" i="4"/>
  <c r="V30" i="5"/>
  <c r="V6" i="5" s="1"/>
  <c r="W48" i="5"/>
  <c r="E12" i="17"/>
  <c r="I31" i="5"/>
  <c r="H9" i="5"/>
  <c r="E20" i="20"/>
  <c r="G11" i="10"/>
  <c r="V39" i="9"/>
  <c r="V38" i="9"/>
  <c r="F27" i="17"/>
  <c r="G7" i="11"/>
  <c r="G6" i="11" s="1"/>
  <c r="S57" i="5"/>
  <c r="P12" i="10"/>
  <c r="F53" i="4"/>
  <c r="F12" i="17" s="1"/>
  <c r="F17" i="4"/>
  <c r="F12" i="4" s="1"/>
  <c r="F22" i="4" s="1"/>
  <c r="F25" i="4" s="1"/>
  <c r="Y7" i="9"/>
  <c r="X8" i="9"/>
  <c r="R13" i="11"/>
  <c r="Q16" i="11"/>
  <c r="Q15" i="5" s="1"/>
  <c r="T45" i="4"/>
  <c r="T8" i="17" s="1"/>
  <c r="T8" i="4"/>
  <c r="V41" i="9"/>
  <c r="V12" i="9" s="1"/>
  <c r="V40" i="9"/>
  <c r="W39" i="9" l="1"/>
  <c r="W40" i="9" s="1"/>
  <c r="W38" i="9"/>
  <c r="U45" i="4"/>
  <c r="U8" i="17" s="1"/>
  <c r="U8" i="4"/>
  <c r="W41" i="9"/>
  <c r="W12" i="9" s="1"/>
  <c r="S7" i="10"/>
  <c r="X4" i="11"/>
  <c r="X26" i="5"/>
  <c r="X4" i="17"/>
  <c r="X48" i="5"/>
  <c r="W30" i="5"/>
  <c r="W6" i="5" s="1"/>
  <c r="T44" i="4"/>
  <c r="T7" i="4"/>
  <c r="T5" i="4" s="1"/>
  <c r="T7" i="17"/>
  <c r="T6" i="17" s="1"/>
  <c r="S13" i="11"/>
  <c r="R16" i="11"/>
  <c r="R15" i="5" s="1"/>
  <c r="T55" i="4"/>
  <c r="T16" i="17" s="1"/>
  <c r="V10" i="9"/>
  <c r="T15" i="4"/>
  <c r="V11" i="9"/>
  <c r="U43" i="4"/>
  <c r="H22" i="5"/>
  <c r="T42" i="4"/>
  <c r="X37" i="9"/>
  <c r="V6" i="4"/>
  <c r="I9" i="5"/>
  <c r="F20" i="20"/>
  <c r="J31" i="5"/>
  <c r="H11" i="10"/>
  <c r="E14" i="20"/>
  <c r="H19" i="10"/>
  <c r="E15" i="10"/>
  <c r="G11" i="11"/>
  <c r="E20" i="11"/>
  <c r="E36" i="17"/>
  <c r="V51" i="5"/>
  <c r="V52" i="5"/>
  <c r="T57" i="5"/>
  <c r="Q12" i="10"/>
  <c r="Z7" i="9"/>
  <c r="Z8" i="9" s="1"/>
  <c r="Y8" i="9"/>
  <c r="E22" i="4"/>
  <c r="U9" i="9"/>
  <c r="G53" i="4"/>
  <c r="G17" i="4"/>
  <c r="G12" i="4" s="1"/>
  <c r="G22" i="4" s="1"/>
  <c r="G25" i="4" s="1"/>
  <c r="W10" i="9" l="1"/>
  <c r="U15" i="4"/>
  <c r="U55" i="4"/>
  <c r="U16" i="17" s="1"/>
  <c r="W11" i="9"/>
  <c r="E21" i="11"/>
  <c r="E25" i="11"/>
  <c r="V43" i="4"/>
  <c r="E25" i="4"/>
  <c r="E23" i="4"/>
  <c r="F23" i="4" s="1"/>
  <c r="G23" i="4" s="1"/>
  <c r="Y37" i="9"/>
  <c r="W6" i="4"/>
  <c r="U44" i="4"/>
  <c r="U42" i="4" s="1"/>
  <c r="U7" i="4"/>
  <c r="U5" i="4" s="1"/>
  <c r="U7" i="17"/>
  <c r="U6" i="17" s="1"/>
  <c r="G14" i="5"/>
  <c r="G36" i="11"/>
  <c r="G10" i="11" s="1"/>
  <c r="X6" i="4"/>
  <c r="Z37" i="9"/>
  <c r="AA8" i="9"/>
  <c r="D30" i="12" s="1"/>
  <c r="W51" i="5"/>
  <c r="W52" i="5" s="1"/>
  <c r="G12" i="17"/>
  <c r="T7" i="10"/>
  <c r="V9" i="9"/>
  <c r="H53" i="4"/>
  <c r="H12" i="17" s="1"/>
  <c r="H17" i="4"/>
  <c r="U57" i="5"/>
  <c r="R12" i="10"/>
  <c r="V45" i="4"/>
  <c r="V8" i="17" s="1"/>
  <c r="V8" i="4"/>
  <c r="X41" i="9"/>
  <c r="X12" i="9" s="1"/>
  <c r="X30" i="5"/>
  <c r="X6" i="5" s="1"/>
  <c r="Y48" i="5"/>
  <c r="F14" i="20"/>
  <c r="I19" i="10"/>
  <c r="S56" i="4"/>
  <c r="S13" i="17" s="1"/>
  <c r="S18" i="4"/>
  <c r="I11" i="10"/>
  <c r="K31" i="5"/>
  <c r="G20" i="20"/>
  <c r="J9" i="5"/>
  <c r="I22" i="5"/>
  <c r="T13" i="11"/>
  <c r="S16" i="11"/>
  <c r="S15" i="5" s="1"/>
  <c r="X39" i="9"/>
  <c r="X40" i="9" s="1"/>
  <c r="X38" i="9"/>
  <c r="X10" i="9" l="1"/>
  <c r="X9" i="9" s="1"/>
  <c r="V55" i="4"/>
  <c r="V16" i="17" s="1"/>
  <c r="X11" i="9"/>
  <c r="V15" i="4"/>
  <c r="X51" i="5"/>
  <c r="X52" i="5"/>
  <c r="V44" i="4"/>
  <c r="V7" i="4"/>
  <c r="V5" i="4" s="1"/>
  <c r="V7" i="17"/>
  <c r="V6" i="17" s="1"/>
  <c r="W43" i="4"/>
  <c r="J22" i="5"/>
  <c r="X43" i="4"/>
  <c r="Y6" i="4"/>
  <c r="E26" i="4"/>
  <c r="E16" i="5"/>
  <c r="E26" i="11"/>
  <c r="Y39" i="9"/>
  <c r="Y41" i="9" s="1"/>
  <c r="Y12" i="9" s="1"/>
  <c r="Y38" i="9"/>
  <c r="U7" i="10"/>
  <c r="K9" i="5"/>
  <c r="L31" i="5"/>
  <c r="J11" i="10"/>
  <c r="H20" i="20"/>
  <c r="X45" i="4"/>
  <c r="X8" i="4"/>
  <c r="G27" i="17"/>
  <c r="H7" i="11"/>
  <c r="H6" i="11" s="1"/>
  <c r="G14" i="20"/>
  <c r="J19" i="10"/>
  <c r="W8" i="4"/>
  <c r="W45" i="4"/>
  <c r="W8" i="17" s="1"/>
  <c r="V57" i="5"/>
  <c r="S12" i="10"/>
  <c r="T56" i="4"/>
  <c r="T13" i="17" s="1"/>
  <c r="T18" i="4"/>
  <c r="V42" i="4"/>
  <c r="Y6" i="5"/>
  <c r="T16" i="11"/>
  <c r="T15" i="5" s="1"/>
  <c r="U13" i="11"/>
  <c r="I17" i="4"/>
  <c r="I53" i="4"/>
  <c r="I12" i="17" s="1"/>
  <c r="W9" i="9"/>
  <c r="W44" i="4" l="1"/>
  <c r="W7" i="4"/>
  <c r="W5" i="4" s="1"/>
  <c r="W7" i="17"/>
  <c r="W6" i="17" s="1"/>
  <c r="F15" i="10"/>
  <c r="H11" i="11"/>
  <c r="U18" i="4"/>
  <c r="U56" i="4"/>
  <c r="U13" i="17" s="1"/>
  <c r="F26" i="4"/>
  <c r="F27" i="4"/>
  <c r="E27" i="4"/>
  <c r="V7" i="10"/>
  <c r="U16" i="11"/>
  <c r="U15" i="5" s="1"/>
  <c r="V13" i="11"/>
  <c r="W57" i="5"/>
  <c r="T12" i="10"/>
  <c r="L9" i="5"/>
  <c r="I20" i="20"/>
  <c r="M31" i="5"/>
  <c r="K11" i="10"/>
  <c r="H14" i="20"/>
  <c r="K19" i="10"/>
  <c r="Y8" i="4"/>
  <c r="J53" i="4"/>
  <c r="J17" i="4"/>
  <c r="E13" i="5"/>
  <c r="Y40" i="9"/>
  <c r="X8" i="17"/>
  <c r="Y8" i="17" s="1"/>
  <c r="Y45" i="4"/>
  <c r="Y43" i="4"/>
  <c r="K22" i="5"/>
  <c r="W42" i="4"/>
  <c r="Z38" i="9"/>
  <c r="Z39" i="9"/>
  <c r="Y51" i="5"/>
  <c r="Y52" i="5" s="1"/>
  <c r="V56" i="4"/>
  <c r="V13" i="17" s="1"/>
  <c r="V18" i="4"/>
  <c r="W7" i="10" l="1"/>
  <c r="L19" i="10"/>
  <c r="I14" i="20"/>
  <c r="L22" i="5"/>
  <c r="W13" i="11"/>
  <c r="V16" i="11"/>
  <c r="V15" i="5" s="1"/>
  <c r="H14" i="5"/>
  <c r="H36" i="11"/>
  <c r="H10" i="11" s="1"/>
  <c r="E52" i="4"/>
  <c r="E30" i="17"/>
  <c r="E21" i="5"/>
  <c r="Y10" i="9"/>
  <c r="W15" i="4"/>
  <c r="W55" i="4"/>
  <c r="W16" i="17" s="1"/>
  <c r="Y11" i="9"/>
  <c r="X57" i="5"/>
  <c r="U12" i="10"/>
  <c r="J12" i="17"/>
  <c r="K53" i="4"/>
  <c r="K12" i="17" s="1"/>
  <c r="K17" i="4"/>
  <c r="J20" i="20"/>
  <c r="M9" i="5"/>
  <c r="L11" i="10"/>
  <c r="N31" i="5"/>
  <c r="G26" i="4"/>
  <c r="Z40" i="9"/>
  <c r="Z41" i="9"/>
  <c r="Z12" i="9" s="1"/>
  <c r="W16" i="11" l="1"/>
  <c r="W15" i="5" s="1"/>
  <c r="X13" i="11"/>
  <c r="X16" i="11" s="1"/>
  <c r="X15" i="5" s="1"/>
  <c r="Y15" i="5" s="1"/>
  <c r="K20" i="20"/>
  <c r="O31" i="5"/>
  <c r="N9" i="5"/>
  <c r="M11" i="10"/>
  <c r="J14" i="20"/>
  <c r="M19" i="10"/>
  <c r="Y57" i="5"/>
  <c r="W12" i="10" s="1"/>
  <c r="V12" i="10"/>
  <c r="X7" i="4"/>
  <c r="X44" i="4"/>
  <c r="AA12" i="9"/>
  <c r="X7" i="17"/>
  <c r="X6" i="17" s="1"/>
  <c r="L17" i="4"/>
  <c r="L53" i="4"/>
  <c r="L12" i="17" s="1"/>
  <c r="G14" i="9"/>
  <c r="H27" i="17"/>
  <c r="I7" i="11"/>
  <c r="I6" i="11" s="1"/>
  <c r="X55" i="4"/>
  <c r="Z11" i="9"/>
  <c r="AA11" i="9" s="1"/>
  <c r="Z10" i="9"/>
  <c r="X15" i="4"/>
  <c r="Y9" i="9"/>
  <c r="G27" i="4"/>
  <c r="M22" i="5"/>
  <c r="N22" i="5" l="1"/>
  <c r="N19" i="10"/>
  <c r="K14" i="20"/>
  <c r="G15" i="9"/>
  <c r="M53" i="4"/>
  <c r="M12" i="17" s="1"/>
  <c r="M17" i="4"/>
  <c r="Y44" i="4"/>
  <c r="Y15" i="4"/>
  <c r="Z9" i="9"/>
  <c r="AA10" i="9"/>
  <c r="X16" i="17"/>
  <c r="Y16" i="17" s="1"/>
  <c r="Y55" i="4"/>
  <c r="Y7" i="4"/>
  <c r="G15" i="10"/>
  <c r="I11" i="11"/>
  <c r="O9" i="5"/>
  <c r="P31" i="5"/>
  <c r="L20" i="20"/>
  <c r="N11" i="10"/>
  <c r="W56" i="4"/>
  <c r="W13" i="17" s="1"/>
  <c r="W18" i="4"/>
  <c r="I14" i="5" l="1"/>
  <c r="I36" i="11"/>
  <c r="I10" i="11" s="1"/>
  <c r="G26" i="9"/>
  <c r="E20" i="4"/>
  <c r="G21" i="9"/>
  <c r="G22" i="9"/>
  <c r="G23" i="9"/>
  <c r="E27" i="11"/>
  <c r="O19" i="10"/>
  <c r="L14" i="20"/>
  <c r="O11" i="10"/>
  <c r="M20" i="20"/>
  <c r="P9" i="5"/>
  <c r="Q31" i="5"/>
  <c r="O22" i="5"/>
  <c r="X56" i="4"/>
  <c r="X18" i="4"/>
  <c r="Y18" i="4" s="1"/>
  <c r="AA9" i="9"/>
  <c r="D32" i="12" s="1"/>
  <c r="N53" i="4"/>
  <c r="N12" i="17" s="1"/>
  <c r="N17" i="4"/>
  <c r="E28" i="11" l="1"/>
  <c r="E29" i="11" s="1"/>
  <c r="E30" i="11"/>
  <c r="E31" i="11" s="1"/>
  <c r="E32" i="11" s="1"/>
  <c r="X13" i="17"/>
  <c r="Y13" i="17" s="1"/>
  <c r="Y56" i="4"/>
  <c r="P11" i="10"/>
  <c r="R31" i="5"/>
  <c r="Q9" i="5"/>
  <c r="N20" i="20"/>
  <c r="B21" i="20"/>
  <c r="B22" i="20" s="1"/>
  <c r="B23" i="20" s="1"/>
  <c r="M14" i="20"/>
  <c r="P19" i="10"/>
  <c r="P22" i="5"/>
  <c r="O17" i="4"/>
  <c r="O53" i="4"/>
  <c r="O12" i="17" s="1"/>
  <c r="I27" i="17"/>
  <c r="J7" i="11"/>
  <c r="J6" i="11" s="1"/>
  <c r="E57" i="4"/>
  <c r="G25" i="9"/>
  <c r="G16" i="9" s="1"/>
  <c r="G27" i="9" l="1"/>
  <c r="G29" i="9"/>
  <c r="H15" i="10"/>
  <c r="J11" i="11"/>
  <c r="O20" i="20"/>
  <c r="R9" i="5"/>
  <c r="Q11" i="10"/>
  <c r="S31" i="5"/>
  <c r="E15" i="17"/>
  <c r="Q19" i="10"/>
  <c r="N14" i="20"/>
  <c r="Q22" i="5"/>
  <c r="P17" i="4"/>
  <c r="P53" i="4"/>
  <c r="P12" i="17" s="1"/>
  <c r="E11" i="17" l="1"/>
  <c r="E5" i="17" s="1"/>
  <c r="R19" i="10"/>
  <c r="O14" i="20"/>
  <c r="D20" i="10"/>
  <c r="S9" i="5"/>
  <c r="T31" i="5"/>
  <c r="P20" i="20"/>
  <c r="R11" i="10"/>
  <c r="R22" i="5"/>
  <c r="Q53" i="4"/>
  <c r="Q12" i="17" s="1"/>
  <c r="Q17" i="4"/>
  <c r="J14" i="5"/>
  <c r="J36" i="11"/>
  <c r="J10" i="11" s="1"/>
  <c r="E40" i="17"/>
  <c r="E41" i="17" s="1"/>
  <c r="E31" i="17" s="1"/>
  <c r="G32" i="9" l="1"/>
  <c r="E24" i="17"/>
  <c r="S22" i="5"/>
  <c r="B15" i="20"/>
  <c r="J27" i="17"/>
  <c r="K7" i="11"/>
  <c r="K6" i="11" s="1"/>
  <c r="T9" i="5"/>
  <c r="Q20" i="20"/>
  <c r="U31" i="5"/>
  <c r="S11" i="10"/>
  <c r="S19" i="10"/>
  <c r="P14" i="20"/>
  <c r="R17" i="4"/>
  <c r="R53" i="4"/>
  <c r="R12" i="17" s="1"/>
  <c r="E22" i="17"/>
  <c r="Q14" i="20" l="1"/>
  <c r="T19" i="10"/>
  <c r="T22" i="5"/>
  <c r="F28" i="17"/>
  <c r="D16" i="10"/>
  <c r="D17" i="10" s="1"/>
  <c r="F18" i="11"/>
  <c r="F23" i="11" s="1"/>
  <c r="E51" i="4"/>
  <c r="E18" i="17"/>
  <c r="T11" i="10"/>
  <c r="R20" i="20"/>
  <c r="U9" i="5"/>
  <c r="V31" i="5"/>
  <c r="K11" i="11"/>
  <c r="I15" i="10"/>
  <c r="S53" i="4"/>
  <c r="S12" i="17" s="1"/>
  <c r="S17" i="4"/>
  <c r="E85" i="4"/>
  <c r="G33" i="9"/>
  <c r="D21" i="10" s="1"/>
  <c r="D18" i="10" s="1"/>
  <c r="B26" i="20" s="1"/>
  <c r="S20" i="20" l="1"/>
  <c r="U11" i="10"/>
  <c r="V9" i="5"/>
  <c r="W31" i="5"/>
  <c r="U22" i="5"/>
  <c r="E38" i="17"/>
  <c r="E39" i="17" s="1"/>
  <c r="E17" i="17"/>
  <c r="E49" i="4"/>
  <c r="D13" i="10"/>
  <c r="F20" i="11"/>
  <c r="F36" i="17"/>
  <c r="T17" i="4"/>
  <c r="T53" i="4"/>
  <c r="T12" i="17" s="1"/>
  <c r="E84" i="4"/>
  <c r="E94" i="4" s="1"/>
  <c r="R14" i="20"/>
  <c r="U19" i="10"/>
  <c r="K14" i="5"/>
  <c r="K36" i="11"/>
  <c r="K10" i="11" s="1"/>
  <c r="F21" i="11" l="1"/>
  <c r="F25" i="11"/>
  <c r="K27" i="17"/>
  <c r="L7" i="11"/>
  <c r="L6" i="11" s="1"/>
  <c r="E59" i="4"/>
  <c r="S14" i="20"/>
  <c r="V19" i="10"/>
  <c r="U17" i="4"/>
  <c r="U53" i="4"/>
  <c r="U12" i="17" s="1"/>
  <c r="E95" i="4"/>
  <c r="E33" i="17"/>
  <c r="E34" i="17" s="1"/>
  <c r="E42" i="17"/>
  <c r="X31" i="5"/>
  <c r="V11" i="10"/>
  <c r="T20" i="20"/>
  <c r="W9" i="5"/>
  <c r="V22" i="5"/>
  <c r="W19" i="10" l="1"/>
  <c r="T14" i="20"/>
  <c r="L11" i="11"/>
  <c r="J15" i="10"/>
  <c r="X9" i="4"/>
  <c r="X9" i="5"/>
  <c r="U20" i="20"/>
  <c r="W11" i="10"/>
  <c r="D8" i="10"/>
  <c r="D6" i="10" s="1"/>
  <c r="D5" i="10" s="1"/>
  <c r="W22" i="5"/>
  <c r="V17" i="4"/>
  <c r="V53" i="4"/>
  <c r="V12" i="17" s="1"/>
  <c r="B5" i="20"/>
  <c r="E60" i="4"/>
  <c r="F16" i="5"/>
  <c r="F26" i="11"/>
  <c r="W17" i="4" l="1"/>
  <c r="W53" i="4"/>
  <c r="W12" i="17" s="1"/>
  <c r="F13" i="5"/>
  <c r="Y9" i="4"/>
  <c r="X46" i="4"/>
  <c r="X87" i="4"/>
  <c r="X5" i="4"/>
  <c r="B28" i="20"/>
  <c r="B6" i="20"/>
  <c r="D25" i="10"/>
  <c r="D26" i="10" s="1"/>
  <c r="D23" i="10"/>
  <c r="X22" i="5"/>
  <c r="Y9" i="5"/>
  <c r="L14" i="5"/>
  <c r="L36" i="11"/>
  <c r="L10" i="11" s="1"/>
  <c r="U14" i="20"/>
  <c r="X53" i="4" l="1"/>
  <c r="X17" i="4"/>
  <c r="Y22" i="5"/>
  <c r="L27" i="17"/>
  <c r="M7" i="11"/>
  <c r="M6" i="11" s="1"/>
  <c r="Y46" i="4"/>
  <c r="X42" i="4"/>
  <c r="F30" i="17"/>
  <c r="F52" i="4"/>
  <c r="F21" i="5"/>
  <c r="Y5" i="4"/>
  <c r="K15" i="10" l="1"/>
  <c r="M11" i="11"/>
  <c r="F38" i="17"/>
  <c r="Y42" i="4"/>
  <c r="D12" i="12"/>
  <c r="D34" i="12"/>
  <c r="Y17" i="4"/>
  <c r="H14" i="9"/>
  <c r="X12" i="17"/>
  <c r="Y53" i="4"/>
  <c r="H15" i="9" l="1"/>
  <c r="D13" i="12"/>
  <c r="D14" i="12"/>
  <c r="D35" i="12"/>
  <c r="D36" i="12"/>
  <c r="Y12" i="17"/>
  <c r="M14" i="5"/>
  <c r="M36" i="11"/>
  <c r="M10" i="11" s="1"/>
  <c r="M27" i="17" l="1"/>
  <c r="N7" i="11"/>
  <c r="N6" i="11" s="1"/>
  <c r="H21" i="9"/>
  <c r="F20" i="4"/>
  <c r="H26" i="9"/>
  <c r="H23" i="9"/>
  <c r="H22" i="9"/>
  <c r="F27" i="11"/>
  <c r="C22" i="20" l="1"/>
  <c r="C23" i="20" s="1"/>
  <c r="C21" i="20"/>
  <c r="F30" i="11"/>
  <c r="F31" i="11" s="1"/>
  <c r="F32" i="11" s="1"/>
  <c r="F28" i="11"/>
  <c r="F29" i="11" s="1"/>
  <c r="H25" i="9"/>
  <c r="H16" i="9" s="1"/>
  <c r="F57" i="4"/>
  <c r="L15" i="10"/>
  <c r="N11" i="11"/>
  <c r="H29" i="9" l="1"/>
  <c r="H27" i="9"/>
  <c r="N14" i="5"/>
  <c r="N36" i="11"/>
  <c r="N10" i="11" s="1"/>
  <c r="F15" i="17"/>
  <c r="N27" i="17" l="1"/>
  <c r="O7" i="11"/>
  <c r="O6" i="11" s="1"/>
  <c r="F11" i="17"/>
  <c r="F5" i="17" s="1"/>
  <c r="E20" i="10"/>
  <c r="F40" i="17"/>
  <c r="F41" i="17" s="1"/>
  <c r="F31" i="17" s="1"/>
  <c r="H32" i="9" l="1"/>
  <c r="F24" i="17"/>
  <c r="F39" i="17"/>
  <c r="F22" i="17"/>
  <c r="C15" i="20"/>
  <c r="M15" i="10"/>
  <c r="O11" i="11"/>
  <c r="F85" i="4" l="1"/>
  <c r="H33" i="9"/>
  <c r="E21" i="10" s="1"/>
  <c r="E18" i="10" s="1"/>
  <c r="C26" i="20" s="1"/>
  <c r="O14" i="5"/>
  <c r="O36" i="11"/>
  <c r="O10" i="11" s="1"/>
  <c r="G28" i="17"/>
  <c r="E16" i="10"/>
  <c r="E17" i="10" s="1"/>
  <c r="G18" i="11"/>
  <c r="G23" i="11" s="1"/>
  <c r="F18" i="17"/>
  <c r="F17" i="17" s="1"/>
  <c r="F51" i="4"/>
  <c r="G20" i="11" l="1"/>
  <c r="G36" i="17"/>
  <c r="F33" i="17"/>
  <c r="F42" i="17"/>
  <c r="E13" i="10"/>
  <c r="F49" i="4"/>
  <c r="O27" i="17"/>
  <c r="P7" i="11"/>
  <c r="P6" i="11" s="1"/>
  <c r="F84" i="4"/>
  <c r="F94" i="4" s="1"/>
  <c r="N15" i="10" l="1"/>
  <c r="P11" i="11"/>
  <c r="F34" i="17"/>
  <c r="F95" i="4"/>
  <c r="F59" i="4"/>
  <c r="G21" i="11"/>
  <c r="G25" i="11"/>
  <c r="C5" i="20" l="1"/>
  <c r="F60" i="4"/>
  <c r="E8" i="10"/>
  <c r="E6" i="10" s="1"/>
  <c r="E5" i="10" s="1"/>
  <c r="G16" i="5"/>
  <c r="G26" i="11"/>
  <c r="P14" i="5"/>
  <c r="P36" i="11"/>
  <c r="P10" i="11" s="1"/>
  <c r="P27" i="17" l="1"/>
  <c r="Q7" i="11"/>
  <c r="Q6" i="11" s="1"/>
  <c r="G13" i="5"/>
  <c r="E25" i="10"/>
  <c r="E26" i="10" s="1"/>
  <c r="E23" i="10"/>
  <c r="C6" i="20"/>
  <c r="C28" i="20"/>
  <c r="G52" i="4" l="1"/>
  <c r="G30" i="17"/>
  <c r="G21" i="5"/>
  <c r="Q11" i="11"/>
  <c r="O15" i="10"/>
  <c r="G38" i="17" l="1"/>
  <c r="I14" i="9"/>
  <c r="Q14" i="5"/>
  <c r="Q36" i="11"/>
  <c r="Q10" i="11" s="1"/>
  <c r="I15" i="9" l="1"/>
  <c r="Q27" i="17"/>
  <c r="R7" i="11"/>
  <c r="R6" i="11" s="1"/>
  <c r="P15" i="10" l="1"/>
  <c r="R11" i="11"/>
  <c r="I22" i="9"/>
  <c r="I26" i="9"/>
  <c r="I21" i="9"/>
  <c r="I23" i="9"/>
  <c r="G20" i="4"/>
  <c r="G27" i="11"/>
  <c r="D21" i="20" l="1"/>
  <c r="D22" i="20"/>
  <c r="D23" i="20" s="1"/>
  <c r="I25" i="9"/>
  <c r="I16" i="9" s="1"/>
  <c r="G57" i="4"/>
  <c r="G30" i="11"/>
  <c r="G31" i="11" s="1"/>
  <c r="G32" i="11" s="1"/>
  <c r="G28" i="11"/>
  <c r="G29" i="11" s="1"/>
  <c r="R14" i="5"/>
  <c r="R36" i="11"/>
  <c r="R10" i="11" s="1"/>
  <c r="R27" i="17" l="1"/>
  <c r="S7" i="11"/>
  <c r="S6" i="11" s="1"/>
  <c r="G15" i="17"/>
  <c r="I29" i="9"/>
  <c r="I27" i="9"/>
  <c r="F20" i="10" l="1"/>
  <c r="G40" i="17"/>
  <c r="G41" i="17" s="1"/>
  <c r="G31" i="17" s="1"/>
  <c r="G11" i="17"/>
  <c r="G5" i="17" s="1"/>
  <c r="Q15" i="10"/>
  <c r="S11" i="11"/>
  <c r="S14" i="5" l="1"/>
  <c r="S36" i="11"/>
  <c r="S10" i="11" s="1"/>
  <c r="G39" i="17"/>
  <c r="I32" i="9"/>
  <c r="G24" i="17"/>
  <c r="G22" i="17" s="1"/>
  <c r="D15" i="20"/>
  <c r="H28" i="17" l="1"/>
  <c r="G18" i="17"/>
  <c r="G17" i="17" s="1"/>
  <c r="F16" i="10"/>
  <c r="F17" i="10" s="1"/>
  <c r="H18" i="11"/>
  <c r="H23" i="11" s="1"/>
  <c r="G51" i="4"/>
  <c r="G85" i="4"/>
  <c r="I33" i="9"/>
  <c r="F21" i="10" s="1"/>
  <c r="F18" i="10" s="1"/>
  <c r="D26" i="20" s="1"/>
  <c r="S27" i="17"/>
  <c r="T7" i="11"/>
  <c r="T6" i="11" s="1"/>
  <c r="R15" i="10" l="1"/>
  <c r="U7" i="11"/>
  <c r="U6" i="11" s="1"/>
  <c r="T11" i="11"/>
  <c r="Y27" i="17"/>
  <c r="G84" i="4"/>
  <c r="G94" i="4" s="1"/>
  <c r="G49" i="4"/>
  <c r="F13" i="10"/>
  <c r="G33" i="17"/>
  <c r="G42" i="17"/>
  <c r="H20" i="11"/>
  <c r="H36" i="17"/>
  <c r="G34" i="17" l="1"/>
  <c r="G95" i="4"/>
  <c r="G59" i="4"/>
  <c r="T9" i="11"/>
  <c r="T14" i="5"/>
  <c r="U11" i="11"/>
  <c r="V7" i="11"/>
  <c r="V6" i="11" s="1"/>
  <c r="S15" i="10"/>
  <c r="H21" i="11"/>
  <c r="H25" i="11"/>
  <c r="H16" i="5" l="1"/>
  <c r="H26" i="11"/>
  <c r="D5" i="20"/>
  <c r="G60" i="4"/>
  <c r="T15" i="10"/>
  <c r="W7" i="11"/>
  <c r="W6" i="11" s="1"/>
  <c r="V11" i="11"/>
  <c r="F8" i="10"/>
  <c r="F6" i="10" s="1"/>
  <c r="F5" i="10" s="1"/>
  <c r="U14" i="5"/>
  <c r="U9" i="11"/>
  <c r="W11" i="11" l="1"/>
  <c r="U15" i="10"/>
  <c r="X7" i="11"/>
  <c r="X6" i="11" s="1"/>
  <c r="F25" i="10"/>
  <c r="F26" i="10" s="1"/>
  <c r="F23" i="10"/>
  <c r="V14" i="5"/>
  <c r="V9" i="11"/>
  <c r="D6" i="20"/>
  <c r="D28" i="20"/>
  <c r="H13" i="5"/>
  <c r="H30" i="17" l="1"/>
  <c r="H52" i="4"/>
  <c r="H21" i="5"/>
  <c r="V15" i="10"/>
  <c r="X11" i="11"/>
  <c r="W14" i="5"/>
  <c r="W9" i="11"/>
  <c r="X14" i="5" l="1"/>
  <c r="X9" i="11"/>
  <c r="J14" i="9"/>
  <c r="H38" i="17"/>
  <c r="J15" i="9" l="1"/>
  <c r="Y14" i="5"/>
  <c r="H20" i="4" l="1"/>
  <c r="J21" i="9"/>
  <c r="J23" i="9"/>
  <c r="J26" i="9"/>
  <c r="J22" i="9"/>
  <c r="H27" i="11"/>
  <c r="H30" i="11" l="1"/>
  <c r="H31" i="11" s="1"/>
  <c r="H32" i="11" s="1"/>
  <c r="H28" i="11"/>
  <c r="H29" i="11" s="1"/>
  <c r="H57" i="4"/>
  <c r="J25" i="9"/>
  <c r="J16" i="9" s="1"/>
  <c r="H19" i="4"/>
  <c r="H12" i="4" l="1"/>
  <c r="E22" i="20"/>
  <c r="E23" i="20" s="1"/>
  <c r="E21" i="20"/>
  <c r="J29" i="9"/>
  <c r="J27" i="9"/>
  <c r="H15" i="17"/>
  <c r="H22" i="4" l="1"/>
  <c r="H11" i="17"/>
  <c r="H5" i="17" s="1"/>
  <c r="G20" i="10"/>
  <c r="H40" i="17"/>
  <c r="H41" i="17" s="1"/>
  <c r="H31" i="17" s="1"/>
  <c r="J32" i="9" l="1"/>
  <c r="H24" i="17"/>
  <c r="H39" i="17"/>
  <c r="H22" i="17"/>
  <c r="E15" i="20"/>
  <c r="H25" i="4"/>
  <c r="H23" i="4"/>
  <c r="H26" i="4" l="1"/>
  <c r="I18" i="11"/>
  <c r="I23" i="11" s="1"/>
  <c r="H18" i="17"/>
  <c r="H17" i="17" s="1"/>
  <c r="I28" i="17"/>
  <c r="G16" i="10"/>
  <c r="G17" i="10" s="1"/>
  <c r="H51" i="4"/>
  <c r="H85" i="4"/>
  <c r="J33" i="9"/>
  <c r="G21" i="10" s="1"/>
  <c r="G18" i="10" s="1"/>
  <c r="E26" i="20" s="1"/>
  <c r="H84" i="4" l="1"/>
  <c r="H94" i="4" s="1"/>
  <c r="H49" i="4"/>
  <c r="H42" i="17"/>
  <c r="H33" i="17"/>
  <c r="G13" i="10"/>
  <c r="I20" i="11"/>
  <c r="I36" i="17"/>
  <c r="H27" i="4"/>
  <c r="I21" i="11" l="1"/>
  <c r="I25" i="11"/>
  <c r="H95" i="4"/>
  <c r="H34" i="17"/>
  <c r="H59" i="4"/>
  <c r="G8" i="10" l="1"/>
  <c r="G6" i="10" s="1"/>
  <c r="G5" i="10" s="1"/>
  <c r="E5" i="20"/>
  <c r="H60" i="4"/>
  <c r="I16" i="5"/>
  <c r="I26" i="11"/>
  <c r="I13" i="5" l="1"/>
  <c r="E28" i="20"/>
  <c r="E6" i="20"/>
  <c r="G25" i="10"/>
  <c r="G26" i="10" s="1"/>
  <c r="G23" i="10"/>
  <c r="I30" i="17" l="1"/>
  <c r="I52" i="4"/>
  <c r="I21" i="5"/>
  <c r="K14" i="9" l="1"/>
  <c r="I38" i="17"/>
  <c r="K15" i="9" l="1"/>
  <c r="K26" i="9" l="1"/>
  <c r="K21" i="9"/>
  <c r="I20" i="4"/>
  <c r="K23" i="9"/>
  <c r="K22" i="9"/>
  <c r="I27" i="11"/>
  <c r="I30" i="11" l="1"/>
  <c r="I31" i="11" s="1"/>
  <c r="I32" i="11" s="1"/>
  <c r="I28" i="11"/>
  <c r="I29" i="11" s="1"/>
  <c r="I19" i="4"/>
  <c r="K25" i="9"/>
  <c r="K16" i="9" s="1"/>
  <c r="I57" i="4"/>
  <c r="I15" i="17" l="1"/>
  <c r="K29" i="9"/>
  <c r="K27" i="9"/>
  <c r="I12" i="4"/>
  <c r="F21" i="20"/>
  <c r="F22" i="20"/>
  <c r="F23" i="20" s="1"/>
  <c r="H20" i="10" l="1"/>
  <c r="I22" i="4"/>
  <c r="I40" i="17"/>
  <c r="I41" i="17" s="1"/>
  <c r="I31" i="17" s="1"/>
  <c r="I11" i="17"/>
  <c r="I5" i="17" s="1"/>
  <c r="K32" i="9" l="1"/>
  <c r="I24" i="17"/>
  <c r="I22" i="17" s="1"/>
  <c r="I39" i="17"/>
  <c r="I25" i="4"/>
  <c r="I23" i="4"/>
  <c r="F15" i="20"/>
  <c r="J28" i="17" l="1"/>
  <c r="H16" i="10"/>
  <c r="H17" i="10" s="1"/>
  <c r="I18" i="17"/>
  <c r="I17" i="17" s="1"/>
  <c r="J18" i="11"/>
  <c r="J23" i="11" s="1"/>
  <c r="I51" i="4"/>
  <c r="I26" i="4"/>
  <c r="I85" i="4"/>
  <c r="K33" i="9"/>
  <c r="H21" i="10" s="1"/>
  <c r="H18" i="10" s="1"/>
  <c r="F26" i="20" s="1"/>
  <c r="I84" i="4" l="1"/>
  <c r="I94" i="4" s="1"/>
  <c r="I95" i="4" s="1"/>
  <c r="I27" i="4"/>
  <c r="I49" i="4"/>
  <c r="I59" i="4" s="1"/>
  <c r="I42" i="17"/>
  <c r="I33" i="17"/>
  <c r="H13" i="10"/>
  <c r="J20" i="11"/>
  <c r="J36" i="17"/>
  <c r="J21" i="11" l="1"/>
  <c r="J25" i="11"/>
  <c r="I34" i="17"/>
  <c r="F5" i="20"/>
  <c r="I60" i="4"/>
  <c r="F6" i="20" l="1"/>
  <c r="F28" i="20"/>
  <c r="H8" i="10"/>
  <c r="H6" i="10" s="1"/>
  <c r="H5" i="10" s="1"/>
  <c r="J16" i="5"/>
  <c r="J13" i="5" s="1"/>
  <c r="J26" i="11"/>
  <c r="J52" i="4" l="1"/>
  <c r="J30" i="17"/>
  <c r="J21" i="5"/>
  <c r="L14" i="9" s="1"/>
  <c r="L15" i="9" s="1"/>
  <c r="H25" i="10"/>
  <c r="H26" i="10" s="1"/>
  <c r="H23" i="10"/>
  <c r="J20" i="4" l="1"/>
  <c r="L23" i="9"/>
  <c r="L22" i="9"/>
  <c r="L24" i="9" s="1"/>
  <c r="L26" i="9"/>
  <c r="L21" i="9"/>
  <c r="J38" i="17"/>
  <c r="J27" i="11"/>
  <c r="J28" i="11" l="1"/>
  <c r="J29" i="11" s="1"/>
  <c r="J30" i="11"/>
  <c r="J31" i="11" s="1"/>
  <c r="J32" i="11" s="1"/>
  <c r="J57" i="4"/>
  <c r="J15" i="17" s="1"/>
  <c r="J11" i="17" s="1"/>
  <c r="J5" i="17" s="1"/>
  <c r="L25" i="9"/>
  <c r="L16" i="9" s="1"/>
  <c r="J19" i="4"/>
  <c r="J12" i="4" l="1"/>
  <c r="J39" i="17"/>
  <c r="G22" i="20"/>
  <c r="G23" i="20" s="1"/>
  <c r="G21" i="20"/>
  <c r="L27" i="9"/>
  <c r="I20" i="10" s="1"/>
  <c r="L29" i="9"/>
  <c r="J40" i="17" l="1"/>
  <c r="J41" i="17" s="1"/>
  <c r="J31" i="17" s="1"/>
  <c r="G15" i="20"/>
  <c r="J22" i="4"/>
  <c r="J25" i="4" l="1"/>
  <c r="J23" i="4"/>
  <c r="L32" i="9"/>
  <c r="J24" i="17"/>
  <c r="J22" i="17" s="1"/>
  <c r="J85" i="4" l="1"/>
  <c r="J84" i="4" s="1"/>
  <c r="J94" i="4" s="1"/>
  <c r="J95" i="4" s="1"/>
  <c r="L33" i="9"/>
  <c r="I21" i="10" s="1"/>
  <c r="I18" i="10" s="1"/>
  <c r="G26" i="20" s="1"/>
  <c r="J24" i="4"/>
  <c r="K18" i="11"/>
  <c r="K23" i="11" s="1"/>
  <c r="K28" i="17"/>
  <c r="J18" i="17"/>
  <c r="J17" i="17" s="1"/>
  <c r="I16" i="10"/>
  <c r="I17" i="10" s="1"/>
  <c r="J51" i="4"/>
  <c r="J49" i="4" s="1"/>
  <c r="J59" i="4" s="1"/>
  <c r="J26" i="4"/>
  <c r="G5" i="20" l="1"/>
  <c r="J60" i="4"/>
  <c r="J42" i="17"/>
  <c r="J33" i="17"/>
  <c r="K20" i="11"/>
  <c r="K36" i="17"/>
  <c r="J27" i="4"/>
  <c r="I13" i="10"/>
  <c r="G6" i="20" l="1"/>
  <c r="G28" i="20"/>
  <c r="K21" i="11"/>
  <c r="K25" i="11"/>
  <c r="J34" i="17"/>
  <c r="I8" i="10" l="1"/>
  <c r="I6" i="10" s="1"/>
  <c r="I5" i="10" s="1"/>
  <c r="K16" i="5"/>
  <c r="K13" i="5" s="1"/>
  <c r="K26" i="11"/>
  <c r="K30" i="17" l="1"/>
  <c r="K52" i="4"/>
  <c r="K21" i="5"/>
  <c r="M14" i="9" s="1"/>
  <c r="M15" i="9" s="1"/>
  <c r="I25" i="10"/>
  <c r="I26" i="10" s="1"/>
  <c r="I23" i="10"/>
  <c r="M26" i="9" l="1"/>
  <c r="M22" i="9"/>
  <c r="M21" i="9"/>
  <c r="M23" i="9"/>
  <c r="K20" i="4"/>
  <c r="K38" i="17"/>
  <c r="K27" i="11"/>
  <c r="K57" i="4" l="1"/>
  <c r="K15" i="17" s="1"/>
  <c r="K11" i="17" s="1"/>
  <c r="K5" i="17" s="1"/>
  <c r="M25" i="9"/>
  <c r="M24" i="9"/>
  <c r="K28" i="11"/>
  <c r="K29" i="11" s="1"/>
  <c r="K30" i="11"/>
  <c r="K31" i="11" s="1"/>
  <c r="K32" i="11" s="1"/>
  <c r="K19" i="4"/>
  <c r="H21" i="20"/>
  <c r="H22" i="20"/>
  <c r="H23" i="20" s="1"/>
  <c r="K12" i="4" l="1"/>
  <c r="M16" i="9"/>
  <c r="K39" i="17"/>
  <c r="M27" i="9" l="1"/>
  <c r="J20" i="10" s="1"/>
  <c r="M29" i="9"/>
  <c r="K22" i="4"/>
  <c r="K40" i="17" l="1"/>
  <c r="K41" i="17" s="1"/>
  <c r="K31" i="17" s="1"/>
  <c r="K25" i="4"/>
  <c r="K26" i="4" s="1"/>
  <c r="K23" i="4"/>
  <c r="H15" i="20"/>
  <c r="K24" i="4" l="1"/>
  <c r="K27" i="4"/>
  <c r="M32" i="9"/>
  <c r="K24" i="17"/>
  <c r="K22" i="17" s="1"/>
  <c r="K85" i="4" l="1"/>
  <c r="K84" i="4" s="1"/>
  <c r="K94" i="4" s="1"/>
  <c r="K95" i="4" s="1"/>
  <c r="M33" i="9"/>
  <c r="J21" i="10" s="1"/>
  <c r="J18" i="10" s="1"/>
  <c r="H26" i="20" s="1"/>
  <c r="J16" i="10"/>
  <c r="J17" i="10" s="1"/>
  <c r="L18" i="11"/>
  <c r="L23" i="11" s="1"/>
  <c r="K18" i="17"/>
  <c r="K17" i="17" s="1"/>
  <c r="L28" i="17"/>
  <c r="K51" i="4"/>
  <c r="K49" i="4" s="1"/>
  <c r="K59" i="4" s="1"/>
  <c r="H5" i="20" l="1"/>
  <c r="K60" i="4"/>
  <c r="L20" i="11"/>
  <c r="L36" i="17"/>
  <c r="J13" i="10"/>
  <c r="K42" i="17"/>
  <c r="K33" i="17"/>
  <c r="K34" i="17" s="1"/>
  <c r="J8" i="10" l="1"/>
  <c r="J6" i="10" s="1"/>
  <c r="J5" i="10" s="1"/>
  <c r="H28" i="20"/>
  <c r="H6" i="20"/>
  <c r="L21" i="11"/>
  <c r="L25" i="11"/>
  <c r="L16" i="5" l="1"/>
  <c r="L13" i="5" s="1"/>
  <c r="L26" i="11"/>
  <c r="J25" i="10"/>
  <c r="J26" i="10" s="1"/>
  <c r="J23" i="10"/>
  <c r="L52" i="4" l="1"/>
  <c r="L30" i="17"/>
  <c r="L21" i="5"/>
  <c r="N14" i="9" s="1"/>
  <c r="N15" i="9" s="1"/>
  <c r="N23" i="9" l="1"/>
  <c r="N22" i="9"/>
  <c r="L20" i="4"/>
  <c r="N21" i="9"/>
  <c r="N26" i="9"/>
  <c r="L27" i="11"/>
  <c r="L38" i="17"/>
  <c r="L19" i="4" l="1"/>
  <c r="I21" i="20"/>
  <c r="I22" i="20"/>
  <c r="I23" i="20" s="1"/>
  <c r="L30" i="11"/>
  <c r="L31" i="11" s="1"/>
  <c r="L32" i="11" s="1"/>
  <c r="L28" i="11"/>
  <c r="L29" i="11" s="1"/>
  <c r="N25" i="9"/>
  <c r="L57" i="4"/>
  <c r="L15" i="17" s="1"/>
  <c r="L11" i="17" s="1"/>
  <c r="L5" i="17" s="1"/>
  <c r="N24" i="9"/>
  <c r="N16" i="9" l="1"/>
  <c r="L39" i="17"/>
  <c r="L12" i="4"/>
  <c r="L22" i="4" s="1"/>
  <c r="L25" i="4" l="1"/>
  <c r="L26" i="4" s="1"/>
  <c r="L23" i="4"/>
  <c r="N29" i="9"/>
  <c r="N27" i="9"/>
  <c r="K20" i="10" s="1"/>
  <c r="I15" i="20" l="1"/>
  <c r="L40" i="17"/>
  <c r="L41" i="17" s="1"/>
  <c r="L31" i="17" s="1"/>
  <c r="L24" i="4"/>
  <c r="L27" i="4"/>
  <c r="N32" i="9" l="1"/>
  <c r="L24" i="17"/>
  <c r="L22" i="17" s="1"/>
  <c r="M28" i="17" l="1"/>
  <c r="K16" i="10"/>
  <c r="K17" i="10" s="1"/>
  <c r="M18" i="11"/>
  <c r="M23" i="11" s="1"/>
  <c r="L18" i="17"/>
  <c r="L17" i="17" s="1"/>
  <c r="L51" i="4"/>
  <c r="L49" i="4" s="1"/>
  <c r="L59" i="4" s="1"/>
  <c r="L85" i="4"/>
  <c r="L84" i="4" s="1"/>
  <c r="L94" i="4" s="1"/>
  <c r="L95" i="4" s="1"/>
  <c r="N33" i="9"/>
  <c r="K21" i="10" s="1"/>
  <c r="K18" i="10" s="1"/>
  <c r="I26" i="20" s="1"/>
  <c r="I5" i="20" l="1"/>
  <c r="L60" i="4"/>
  <c r="L42" i="17"/>
  <c r="L33" i="17"/>
  <c r="L34" i="17" s="1"/>
  <c r="K13" i="10"/>
  <c r="M20" i="11"/>
  <c r="M36" i="17"/>
  <c r="M21" i="11" l="1"/>
  <c r="M25" i="11"/>
  <c r="K8" i="10"/>
  <c r="K6" i="10" s="1"/>
  <c r="K5" i="10" s="1"/>
  <c r="I28" i="20"/>
  <c r="I6" i="20"/>
  <c r="K25" i="10" l="1"/>
  <c r="K26" i="10" s="1"/>
  <c r="K23" i="10"/>
  <c r="M16" i="5"/>
  <c r="M13" i="5" s="1"/>
  <c r="M26" i="11"/>
  <c r="M30" i="17" l="1"/>
  <c r="M52" i="4"/>
  <c r="M21" i="5"/>
  <c r="O14" i="9" s="1"/>
  <c r="O15" i="9" s="1"/>
  <c r="O23" i="9" l="1"/>
  <c r="M20" i="4"/>
  <c r="O26" i="9"/>
  <c r="O21" i="9"/>
  <c r="O22" i="9"/>
  <c r="M27" i="11"/>
  <c r="M38" i="17"/>
  <c r="M30" i="11" l="1"/>
  <c r="M31" i="11" s="1"/>
  <c r="M32" i="11" s="1"/>
  <c r="M28" i="11"/>
  <c r="M29" i="11" s="1"/>
  <c r="O24" i="9"/>
  <c r="O25" i="9"/>
  <c r="O16" i="9" s="1"/>
  <c r="M57" i="4"/>
  <c r="M15" i="17" s="1"/>
  <c r="M11" i="17" s="1"/>
  <c r="M5" i="17" s="1"/>
  <c r="M19" i="4"/>
  <c r="M12" i="4" s="1"/>
  <c r="M22" i="4" s="1"/>
  <c r="J21" i="20" l="1"/>
  <c r="J22" i="20"/>
  <c r="J23" i="20" s="1"/>
  <c r="O29" i="9"/>
  <c r="O27" i="9"/>
  <c r="L20" i="10" s="1"/>
  <c r="M25" i="4"/>
  <c r="M26" i="4" s="1"/>
  <c r="M23" i="4"/>
  <c r="M39" i="17"/>
  <c r="M24" i="4" l="1"/>
  <c r="M27" i="4"/>
  <c r="J15" i="20"/>
  <c r="M40" i="17"/>
  <c r="M41" i="17" s="1"/>
  <c r="M31" i="17" s="1"/>
  <c r="O32" i="9" l="1"/>
  <c r="M24" i="17"/>
  <c r="M22" i="17" s="1"/>
  <c r="N18" i="11" l="1"/>
  <c r="N23" i="11" s="1"/>
  <c r="N28" i="17"/>
  <c r="L16" i="10"/>
  <c r="L17" i="10" s="1"/>
  <c r="M18" i="17"/>
  <c r="M17" i="17" s="1"/>
  <c r="M51" i="4"/>
  <c r="M49" i="4" s="1"/>
  <c r="M59" i="4" s="1"/>
  <c r="M85" i="4"/>
  <c r="M84" i="4" s="1"/>
  <c r="M94" i="4" s="1"/>
  <c r="M95" i="4" s="1"/>
  <c r="O33" i="9"/>
  <c r="L21" i="10" s="1"/>
  <c r="L18" i="10" s="1"/>
  <c r="J26" i="20" s="1"/>
  <c r="J5" i="20" l="1"/>
  <c r="M60" i="4"/>
  <c r="M33" i="17"/>
  <c r="M34" i="17" s="1"/>
  <c r="M42" i="17"/>
  <c r="L13" i="10"/>
  <c r="N20" i="11"/>
  <c r="N36" i="17"/>
  <c r="N21" i="11" l="1"/>
  <c r="N25" i="11"/>
  <c r="L8" i="10"/>
  <c r="L6" i="10" s="1"/>
  <c r="L5" i="10" s="1"/>
  <c r="J28" i="20"/>
  <c r="J6" i="20"/>
  <c r="L25" i="10" l="1"/>
  <c r="L26" i="10" s="1"/>
  <c r="L23" i="10"/>
  <c r="N16" i="5"/>
  <c r="N13" i="5" s="1"/>
  <c r="N26" i="11"/>
  <c r="N30" i="17" l="1"/>
  <c r="N52" i="4"/>
  <c r="N21" i="5"/>
  <c r="P14" i="9" s="1"/>
  <c r="P15" i="9" s="1"/>
  <c r="N20" i="4" l="1"/>
  <c r="P23" i="9"/>
  <c r="P21" i="9"/>
  <c r="P26" i="9"/>
  <c r="P22" i="9"/>
  <c r="N38" i="17"/>
  <c r="N27" i="11"/>
  <c r="N19" i="4" l="1"/>
  <c r="N12" i="4" s="1"/>
  <c r="N22" i="4" s="1"/>
  <c r="P24" i="9"/>
  <c r="N28" i="11"/>
  <c r="N29" i="11" s="1"/>
  <c r="N30" i="11"/>
  <c r="N31" i="11" s="1"/>
  <c r="N32" i="11" s="1"/>
  <c r="P25" i="9"/>
  <c r="P16" i="9" s="1"/>
  <c r="N57" i="4"/>
  <c r="N15" i="17" s="1"/>
  <c r="N11" i="17" s="1"/>
  <c r="N5" i="17" s="1"/>
  <c r="N25" i="4" l="1"/>
  <c r="N26" i="4" s="1"/>
  <c r="N23" i="4"/>
  <c r="N39" i="17"/>
  <c r="K21" i="20"/>
  <c r="P27" i="9"/>
  <c r="M20" i="10" s="1"/>
  <c r="P29" i="9"/>
  <c r="K22" i="20"/>
  <c r="K23" i="20" s="1"/>
  <c r="N40" i="17" l="1"/>
  <c r="N41" i="17" s="1"/>
  <c r="N31" i="17" s="1"/>
  <c r="K15" i="20"/>
  <c r="N24" i="4"/>
  <c r="N27" i="4"/>
  <c r="P32" i="9" l="1"/>
  <c r="N24" i="17"/>
  <c r="N22" i="17" s="1"/>
  <c r="N85" i="4" l="1"/>
  <c r="N84" i="4" s="1"/>
  <c r="N94" i="4" s="1"/>
  <c r="N95" i="4" s="1"/>
  <c r="P33" i="9"/>
  <c r="M21" i="10" s="1"/>
  <c r="M18" i="10" s="1"/>
  <c r="K26" i="20" s="1"/>
  <c r="O18" i="11"/>
  <c r="O23" i="11" s="1"/>
  <c r="N18" i="17"/>
  <c r="N17" i="17" s="1"/>
  <c r="M16" i="10"/>
  <c r="M17" i="10" s="1"/>
  <c r="O28" i="17"/>
  <c r="N51" i="4"/>
  <c r="N49" i="4" s="1"/>
  <c r="N59" i="4" s="1"/>
  <c r="M13" i="10" l="1"/>
  <c r="N42" i="17"/>
  <c r="N33" i="17"/>
  <c r="N34" i="17" s="1"/>
  <c r="K5" i="20"/>
  <c r="N60" i="4"/>
  <c r="O20" i="11"/>
  <c r="O36" i="17"/>
  <c r="O21" i="11" l="1"/>
  <c r="O25" i="11"/>
  <c r="K6" i="20"/>
  <c r="K28" i="20"/>
  <c r="M8" i="10"/>
  <c r="M6" i="10" s="1"/>
  <c r="M5" i="10" s="1"/>
  <c r="M25" i="10" l="1"/>
  <c r="M26" i="10" s="1"/>
  <c r="M23" i="10"/>
  <c r="O16" i="5"/>
  <c r="O13" i="5" s="1"/>
  <c r="O26" i="11"/>
  <c r="O52" i="4" l="1"/>
  <c r="O30" i="17"/>
  <c r="O21" i="5"/>
  <c r="Q14" i="9" s="1"/>
  <c r="Q15" i="9" s="1"/>
  <c r="Q26" i="9" l="1"/>
  <c r="Q22" i="9"/>
  <c r="Q21" i="9"/>
  <c r="O20" i="4"/>
  <c r="Q23" i="9"/>
  <c r="O27" i="11"/>
  <c r="O38" i="17"/>
  <c r="Q24" i="9" l="1"/>
  <c r="O30" i="11"/>
  <c r="O31" i="11" s="1"/>
  <c r="O32" i="11" s="1"/>
  <c r="O28" i="11"/>
  <c r="O29" i="11" s="1"/>
  <c r="O19" i="4"/>
  <c r="O12" i="4" s="1"/>
  <c r="O22" i="4" s="1"/>
  <c r="L22" i="20"/>
  <c r="L23" i="20" s="1"/>
  <c r="L21" i="20"/>
  <c r="Q25" i="9"/>
  <c r="Q16" i="9" s="1"/>
  <c r="O57" i="4"/>
  <c r="O15" i="17" s="1"/>
  <c r="O11" i="17" s="1"/>
  <c r="O5" i="17" s="1"/>
  <c r="O25" i="4" l="1"/>
  <c r="O26" i="4" s="1"/>
  <c r="O23" i="4"/>
  <c r="Q29" i="9"/>
  <c r="Q27" i="9"/>
  <c r="N20" i="10" s="1"/>
  <c r="O39" i="17"/>
  <c r="O27" i="4" l="1"/>
  <c r="O40" i="17"/>
  <c r="O41" i="17" s="1"/>
  <c r="O31" i="17" s="1"/>
  <c r="L15" i="20"/>
  <c r="O24" i="4"/>
  <c r="Q32" i="9" l="1"/>
  <c r="O24" i="17"/>
  <c r="O22" i="17" s="1"/>
  <c r="P18" i="11" l="1"/>
  <c r="P23" i="11" s="1"/>
  <c r="O18" i="17"/>
  <c r="O17" i="17" s="1"/>
  <c r="P28" i="17"/>
  <c r="N16" i="10"/>
  <c r="N17" i="10" s="1"/>
  <c r="O51" i="4"/>
  <c r="O49" i="4" s="1"/>
  <c r="O59" i="4" s="1"/>
  <c r="O85" i="4"/>
  <c r="O84" i="4" s="1"/>
  <c r="O94" i="4" s="1"/>
  <c r="O95" i="4" s="1"/>
  <c r="Q33" i="9"/>
  <c r="N21" i="10" s="1"/>
  <c r="N18" i="10" s="1"/>
  <c r="L26" i="20" s="1"/>
  <c r="P20" i="11" l="1"/>
  <c r="P36" i="17"/>
  <c r="O33" i="17"/>
  <c r="O34" i="17" s="1"/>
  <c r="O42" i="17"/>
  <c r="L5" i="20"/>
  <c r="O60" i="4"/>
  <c r="N13" i="10"/>
  <c r="L6" i="20" l="1"/>
  <c r="L28" i="20"/>
  <c r="N8" i="10"/>
  <c r="N6" i="10" s="1"/>
  <c r="N5" i="10" s="1"/>
  <c r="P21" i="11"/>
  <c r="P25" i="11"/>
  <c r="P16" i="5" l="1"/>
  <c r="P13" i="5" s="1"/>
  <c r="P26" i="11"/>
  <c r="N25" i="10"/>
  <c r="N26" i="10" s="1"/>
  <c r="N23" i="10"/>
  <c r="P30" i="17" l="1"/>
  <c r="P52" i="4"/>
  <c r="P21" i="5"/>
  <c r="R14" i="9" s="1"/>
  <c r="R15" i="9" s="1"/>
  <c r="R21" i="9" l="1"/>
  <c r="P20" i="4"/>
  <c r="R26" i="9"/>
  <c r="R23" i="9"/>
  <c r="R22" i="9"/>
  <c r="P27" i="11"/>
  <c r="P38" i="17"/>
  <c r="P28" i="11" l="1"/>
  <c r="P29" i="11" s="1"/>
  <c r="P30" i="11"/>
  <c r="P31" i="11" s="1"/>
  <c r="P32" i="11" s="1"/>
  <c r="R24" i="9"/>
  <c r="P19" i="4"/>
  <c r="P12" i="4" s="1"/>
  <c r="P22" i="4" s="1"/>
  <c r="M22" i="20"/>
  <c r="M23" i="20" s="1"/>
  <c r="M21" i="20"/>
  <c r="P57" i="4"/>
  <c r="P15" i="17" s="1"/>
  <c r="P11" i="17" s="1"/>
  <c r="P5" i="17" s="1"/>
  <c r="R25" i="9"/>
  <c r="R16" i="9" l="1"/>
  <c r="P39" i="17"/>
  <c r="P25" i="4"/>
  <c r="P26" i="4" s="1"/>
  <c r="P23" i="4"/>
  <c r="P24" i="4" l="1"/>
  <c r="P27" i="4"/>
  <c r="R27" i="9"/>
  <c r="O20" i="10" s="1"/>
  <c r="R29" i="9"/>
  <c r="P40" i="17" l="1"/>
  <c r="P41" i="17" s="1"/>
  <c r="P31" i="17" s="1"/>
  <c r="M15" i="20"/>
  <c r="R32" i="9" l="1"/>
  <c r="P24" i="17"/>
  <c r="P22" i="17" s="1"/>
  <c r="P85" i="4" l="1"/>
  <c r="P84" i="4" s="1"/>
  <c r="P94" i="4" s="1"/>
  <c r="P95" i="4" s="1"/>
  <c r="R33" i="9"/>
  <c r="O21" i="10" s="1"/>
  <c r="O18" i="10" s="1"/>
  <c r="M26" i="20" s="1"/>
  <c r="Q18" i="11"/>
  <c r="Q23" i="11" s="1"/>
  <c r="P18" i="17"/>
  <c r="P17" i="17" s="1"/>
  <c r="O16" i="10"/>
  <c r="O17" i="10" s="1"/>
  <c r="Q28" i="17"/>
  <c r="P51" i="4"/>
  <c r="P49" i="4" s="1"/>
  <c r="P59" i="4" s="1"/>
  <c r="M5" i="20" l="1"/>
  <c r="P60" i="4"/>
  <c r="Q20" i="11"/>
  <c r="Q36" i="17"/>
  <c r="O13" i="10"/>
  <c r="P42" i="17"/>
  <c r="P33" i="17"/>
  <c r="P34" i="17" s="1"/>
  <c r="O8" i="10" l="1"/>
  <c r="O6" i="10" s="1"/>
  <c r="O5" i="10" s="1"/>
  <c r="Q21" i="11"/>
  <c r="Q25" i="11"/>
  <c r="M28" i="20"/>
  <c r="M6" i="20"/>
  <c r="Q16" i="5" l="1"/>
  <c r="Q13" i="5" s="1"/>
  <c r="Q26" i="11"/>
  <c r="O25" i="10"/>
  <c r="O26" i="10" s="1"/>
  <c r="O23" i="10"/>
  <c r="Q52" i="4" l="1"/>
  <c r="Q30" i="17"/>
  <c r="Q21" i="5"/>
  <c r="S14" i="9" s="1"/>
  <c r="S15" i="9" s="1"/>
  <c r="Q38" i="17" l="1"/>
  <c r="S23" i="9"/>
  <c r="S22" i="9"/>
  <c r="S26" i="9"/>
  <c r="S21" i="9"/>
  <c r="Q20" i="4"/>
  <c r="Q27" i="11"/>
  <c r="Q30" i="11" l="1"/>
  <c r="Q31" i="11" s="1"/>
  <c r="Q32" i="11" s="1"/>
  <c r="Q28" i="11"/>
  <c r="Q29" i="11" s="1"/>
  <c r="Q19" i="4"/>
  <c r="Q12" i="4" s="1"/>
  <c r="Q22" i="4" s="1"/>
  <c r="S25" i="9"/>
  <c r="Q57" i="4"/>
  <c r="Q15" i="17" s="1"/>
  <c r="Q11" i="17" s="1"/>
  <c r="Q5" i="17" s="1"/>
  <c r="S24" i="9"/>
  <c r="Q25" i="4" l="1"/>
  <c r="Q26" i="4" s="1"/>
  <c r="Q23" i="4"/>
  <c r="Q39" i="17"/>
  <c r="S16" i="9"/>
  <c r="N21" i="20"/>
  <c r="N22" i="20"/>
  <c r="N23" i="20" s="1"/>
  <c r="S27" i="9" l="1"/>
  <c r="P20" i="10" s="1"/>
  <c r="S29" i="9"/>
  <c r="Q24" i="4"/>
  <c r="Q27" i="4"/>
  <c r="Q40" i="17" l="1"/>
  <c r="Q41" i="17" s="1"/>
  <c r="Q31" i="17" s="1"/>
  <c r="N15" i="20"/>
  <c r="S32" i="9" l="1"/>
  <c r="Q24" i="17"/>
  <c r="Q22" i="17" s="1"/>
  <c r="P16" i="10" l="1"/>
  <c r="P17" i="10" s="1"/>
  <c r="R18" i="11"/>
  <c r="R23" i="11" s="1"/>
  <c r="R28" i="17"/>
  <c r="Q18" i="17"/>
  <c r="Q17" i="17" s="1"/>
  <c r="Q51" i="4"/>
  <c r="Q49" i="4" s="1"/>
  <c r="Q59" i="4" s="1"/>
  <c r="Q85" i="4"/>
  <c r="Q84" i="4" s="1"/>
  <c r="Q94" i="4" s="1"/>
  <c r="Q95" i="4" s="1"/>
  <c r="S33" i="9"/>
  <c r="P21" i="10" s="1"/>
  <c r="P18" i="10" s="1"/>
  <c r="N26" i="20" s="1"/>
  <c r="Q33" i="17" l="1"/>
  <c r="Q34" i="17" s="1"/>
  <c r="Q42" i="17"/>
  <c r="N5" i="20"/>
  <c r="Q60" i="4"/>
  <c r="R20" i="11"/>
  <c r="R36" i="17"/>
  <c r="P13" i="10"/>
  <c r="R21" i="11" l="1"/>
  <c r="R25" i="11"/>
  <c r="N6" i="20"/>
  <c r="N28" i="20"/>
  <c r="P8" i="10"/>
  <c r="P6" i="10" s="1"/>
  <c r="P5" i="10" s="1"/>
  <c r="P25" i="10" l="1"/>
  <c r="P26" i="10" s="1"/>
  <c r="P23" i="10"/>
  <c r="R16" i="5"/>
  <c r="R13" i="5" s="1"/>
  <c r="R26" i="11"/>
  <c r="R30" i="17" l="1"/>
  <c r="R52" i="4"/>
  <c r="R21" i="5"/>
  <c r="T14" i="9" s="1"/>
  <c r="T15" i="9" s="1"/>
  <c r="R20" i="4" l="1"/>
  <c r="T26" i="9"/>
  <c r="T23" i="9"/>
  <c r="T21" i="9"/>
  <c r="T22" i="9"/>
  <c r="R27" i="11"/>
  <c r="R38" i="17"/>
  <c r="T25" i="9" l="1"/>
  <c r="R57" i="4"/>
  <c r="R15" i="17" s="1"/>
  <c r="R11" i="17" s="1"/>
  <c r="R5" i="17" s="1"/>
  <c r="R19" i="4"/>
  <c r="R12" i="4" s="1"/>
  <c r="R22" i="4" s="1"/>
  <c r="O22" i="20"/>
  <c r="O23" i="20" s="1"/>
  <c r="T24" i="9"/>
  <c r="R28" i="11"/>
  <c r="R29" i="11" s="1"/>
  <c r="R30" i="11"/>
  <c r="R31" i="11" s="1"/>
  <c r="R32" i="11" s="1"/>
  <c r="R39" i="17" l="1"/>
  <c r="R25" i="4"/>
  <c r="R26" i="4" s="1"/>
  <c r="R23" i="4"/>
  <c r="O21" i="20"/>
  <c r="T16" i="9"/>
  <c r="T27" i="9" l="1"/>
  <c r="Q20" i="10" s="1"/>
  <c r="T29" i="9"/>
  <c r="R24" i="4"/>
  <c r="R27" i="4"/>
  <c r="R40" i="17" l="1"/>
  <c r="R41" i="17" s="1"/>
  <c r="R31" i="17" s="1"/>
  <c r="O15" i="20"/>
  <c r="T32" i="9" l="1"/>
  <c r="R24" i="17"/>
  <c r="R22" i="17" s="1"/>
  <c r="R18" i="17" l="1"/>
  <c r="R17" i="17" s="1"/>
  <c r="Q16" i="10"/>
  <c r="Q17" i="10" s="1"/>
  <c r="S28" i="17"/>
  <c r="S18" i="11"/>
  <c r="S23" i="11" s="1"/>
  <c r="R51" i="4"/>
  <c r="R49" i="4" s="1"/>
  <c r="R59" i="4" s="1"/>
  <c r="R85" i="4"/>
  <c r="R84" i="4" s="1"/>
  <c r="R94" i="4" s="1"/>
  <c r="R95" i="4" s="1"/>
  <c r="T33" i="9"/>
  <c r="Q21" i="10" s="1"/>
  <c r="Q18" i="10" s="1"/>
  <c r="O26" i="20" s="1"/>
  <c r="R42" i="17" l="1"/>
  <c r="R33" i="17"/>
  <c r="R34" i="17" s="1"/>
  <c r="O5" i="20"/>
  <c r="R60" i="4"/>
  <c r="S20" i="11"/>
  <c r="S36" i="17"/>
  <c r="Q13" i="10"/>
  <c r="S21" i="11" l="1"/>
  <c r="S25" i="11"/>
  <c r="O6" i="20"/>
  <c r="O28" i="20"/>
  <c r="Q8" i="10"/>
  <c r="Q6" i="10" s="1"/>
  <c r="Q5" i="10" s="1"/>
  <c r="S16" i="5" l="1"/>
  <c r="S13" i="5" s="1"/>
  <c r="S26" i="11"/>
  <c r="Q25" i="10"/>
  <c r="Q26" i="10" s="1"/>
  <c r="Q23" i="10"/>
  <c r="S27" i="11" l="1"/>
  <c r="S52" i="4"/>
  <c r="S30" i="17"/>
  <c r="S21" i="5"/>
  <c r="U14" i="9" s="1"/>
  <c r="U15" i="9" s="1"/>
  <c r="S30" i="11" l="1"/>
  <c r="S31" i="11" s="1"/>
  <c r="S32" i="11" s="1"/>
  <c r="Y32" i="11" s="1"/>
  <c r="H44" i="12" s="1"/>
  <c r="S28" i="11"/>
  <c r="S29" i="11" s="1"/>
  <c r="U26" i="9"/>
  <c r="U23" i="9"/>
  <c r="U21" i="9"/>
  <c r="S20" i="4"/>
  <c r="U22" i="9"/>
  <c r="S38" i="17"/>
  <c r="U24" i="9" l="1"/>
  <c r="S19" i="4"/>
  <c r="S12" i="4" s="1"/>
  <c r="S22" i="4" s="1"/>
  <c r="P21" i="20"/>
  <c r="U25" i="9"/>
  <c r="S57" i="4"/>
  <c r="S15" i="17" s="1"/>
  <c r="S11" i="17" s="1"/>
  <c r="S5" i="17" s="1"/>
  <c r="U16" i="9" l="1"/>
  <c r="S39" i="17"/>
  <c r="S25" i="4"/>
  <c r="S26" i="4" s="1"/>
  <c r="S23" i="4"/>
  <c r="P22" i="20"/>
  <c r="P23" i="20" s="1"/>
  <c r="S24" i="4" l="1"/>
  <c r="S27" i="4"/>
  <c r="U29" i="9"/>
  <c r="U27" i="9"/>
  <c r="R20" i="10" s="1"/>
  <c r="P15" i="20" l="1"/>
  <c r="S40" i="17"/>
  <c r="S41" i="17" s="1"/>
  <c r="S31" i="17" s="1"/>
  <c r="U32" i="9" l="1"/>
  <c r="S24" i="17"/>
  <c r="S22" i="17" s="1"/>
  <c r="T18" i="11" l="1"/>
  <c r="T23" i="11" s="1"/>
  <c r="S18" i="17"/>
  <c r="S17" i="17" s="1"/>
  <c r="T28" i="17"/>
  <c r="R16" i="10"/>
  <c r="R17" i="10" s="1"/>
  <c r="S51" i="4"/>
  <c r="S49" i="4" s="1"/>
  <c r="S59" i="4" s="1"/>
  <c r="S85" i="4"/>
  <c r="S84" i="4" s="1"/>
  <c r="S94" i="4" s="1"/>
  <c r="S95" i="4" s="1"/>
  <c r="U33" i="9"/>
  <c r="R21" i="10" s="1"/>
  <c r="R18" i="10" s="1"/>
  <c r="P26" i="20" s="1"/>
  <c r="P5" i="20" l="1"/>
  <c r="S60" i="4"/>
  <c r="R13" i="10"/>
  <c r="T20" i="11"/>
  <c r="T36" i="17"/>
  <c r="S42" i="17"/>
  <c r="S33" i="17"/>
  <c r="S34" i="17" s="1"/>
  <c r="R8" i="10" l="1"/>
  <c r="R6" i="10" s="1"/>
  <c r="R5" i="10" s="1"/>
  <c r="T21" i="11"/>
  <c r="T25" i="11"/>
  <c r="P28" i="20"/>
  <c r="P6" i="20"/>
  <c r="T16" i="5" l="1"/>
  <c r="T13" i="5" s="1"/>
  <c r="T26" i="11"/>
  <c r="R25" i="10"/>
  <c r="R26" i="10" s="1"/>
  <c r="R23" i="10"/>
  <c r="T52" i="4" l="1"/>
  <c r="T30" i="17"/>
  <c r="T21" i="5"/>
  <c r="V14" i="9" s="1"/>
  <c r="V15" i="9" s="1"/>
  <c r="V23" i="9" l="1"/>
  <c r="V21" i="9"/>
  <c r="V22" i="9"/>
  <c r="T20" i="4"/>
  <c r="V26" i="9"/>
  <c r="T38" i="17"/>
  <c r="T27" i="11"/>
  <c r="T30" i="11" l="1"/>
  <c r="T31" i="11" s="1"/>
  <c r="T28" i="11"/>
  <c r="T29" i="11" s="1"/>
  <c r="T19" i="4"/>
  <c r="T12" i="4" s="1"/>
  <c r="T22" i="4" s="1"/>
  <c r="V24" i="9"/>
  <c r="V25" i="9"/>
  <c r="T57" i="4"/>
  <c r="T15" i="17" s="1"/>
  <c r="T11" i="17" s="1"/>
  <c r="T5" i="17" s="1"/>
  <c r="T25" i="4" l="1"/>
  <c r="T26" i="4" s="1"/>
  <c r="T23" i="4"/>
  <c r="Q22" i="20"/>
  <c r="Q23" i="20" s="1"/>
  <c r="T39" i="17"/>
  <c r="V16" i="9"/>
  <c r="Q21" i="20"/>
  <c r="T24" i="4" l="1"/>
  <c r="V29" i="9"/>
  <c r="V27" i="9"/>
  <c r="S20" i="10" s="1"/>
  <c r="T27" i="4"/>
  <c r="Q15" i="20" l="1"/>
  <c r="T40" i="17"/>
  <c r="T41" i="17" s="1"/>
  <c r="T31" i="17" s="1"/>
  <c r="V32" i="9" l="1"/>
  <c r="T24" i="17"/>
  <c r="T22" i="17" s="1"/>
  <c r="U28" i="17" l="1"/>
  <c r="T18" i="17"/>
  <c r="T17" i="17" s="1"/>
  <c r="U18" i="11"/>
  <c r="U23" i="11" s="1"/>
  <c r="S16" i="10"/>
  <c r="S17" i="10" s="1"/>
  <c r="T51" i="4"/>
  <c r="T49" i="4" s="1"/>
  <c r="T59" i="4" s="1"/>
  <c r="T85" i="4"/>
  <c r="T84" i="4" s="1"/>
  <c r="T94" i="4" s="1"/>
  <c r="T95" i="4" s="1"/>
  <c r="V33" i="9"/>
  <c r="S21" i="10" s="1"/>
  <c r="S18" i="10" s="1"/>
  <c r="Q26" i="20" s="1"/>
  <c r="Q5" i="20" l="1"/>
  <c r="T60" i="4"/>
  <c r="S13" i="10"/>
  <c r="T33" i="17"/>
  <c r="T34" i="17" s="1"/>
  <c r="T42" i="17"/>
  <c r="U20" i="11"/>
  <c r="U36" i="17"/>
  <c r="U21" i="11" l="1"/>
  <c r="U25" i="11"/>
  <c r="S8" i="10"/>
  <c r="S6" i="10" s="1"/>
  <c r="S5" i="10" s="1"/>
  <c r="Q28" i="20"/>
  <c r="Q6" i="20"/>
  <c r="U16" i="5" l="1"/>
  <c r="U13" i="5" s="1"/>
  <c r="U26" i="11"/>
  <c r="S25" i="10"/>
  <c r="S26" i="10" s="1"/>
  <c r="S23" i="10"/>
  <c r="U30" i="17" l="1"/>
  <c r="U27" i="11"/>
  <c r="U52" i="4"/>
  <c r="U21" i="5"/>
  <c r="W14" i="9" s="1"/>
  <c r="W15" i="9" s="1"/>
  <c r="U38" i="17" l="1"/>
  <c r="W26" i="9"/>
  <c r="W23" i="9"/>
  <c r="U20" i="4"/>
  <c r="W22" i="9"/>
  <c r="W21" i="9"/>
  <c r="U30" i="11"/>
  <c r="U31" i="11" s="1"/>
  <c r="U28" i="11"/>
  <c r="U29" i="11" s="1"/>
  <c r="W25" i="9" l="1"/>
  <c r="U57" i="4"/>
  <c r="U15" i="17" s="1"/>
  <c r="U11" i="17" s="1"/>
  <c r="U5" i="17" s="1"/>
  <c r="W24" i="9"/>
  <c r="U19" i="4"/>
  <c r="U12" i="4" s="1"/>
  <c r="U22" i="4" s="1"/>
  <c r="U25" i="4" l="1"/>
  <c r="U26" i="4" s="1"/>
  <c r="U23" i="4"/>
  <c r="R21" i="20"/>
  <c r="R22" i="20"/>
  <c r="R23" i="20" s="1"/>
  <c r="U39" i="17"/>
  <c r="W16" i="9"/>
  <c r="W27" i="9" l="1"/>
  <c r="T20" i="10" s="1"/>
  <c r="W29" i="9"/>
  <c r="U24" i="4"/>
  <c r="U27" i="4"/>
  <c r="R15" i="20" l="1"/>
  <c r="U40" i="17"/>
  <c r="U41" i="17" s="1"/>
  <c r="U31" i="17" s="1"/>
  <c r="W32" i="9" l="1"/>
  <c r="U24" i="17"/>
  <c r="U22" i="17" s="1"/>
  <c r="U85" i="4" l="1"/>
  <c r="U84" i="4" s="1"/>
  <c r="U94" i="4" s="1"/>
  <c r="U95" i="4" s="1"/>
  <c r="W33" i="9"/>
  <c r="T21" i="10" s="1"/>
  <c r="T18" i="10" s="1"/>
  <c r="R26" i="20" s="1"/>
  <c r="V28" i="17"/>
  <c r="T16" i="10"/>
  <c r="T17" i="10" s="1"/>
  <c r="U51" i="4"/>
  <c r="U49" i="4" s="1"/>
  <c r="U59" i="4" s="1"/>
  <c r="U18" i="17"/>
  <c r="U17" i="17" s="1"/>
  <c r="U42" i="17" l="1"/>
  <c r="U33" i="17"/>
  <c r="U34" i="17" s="1"/>
  <c r="R5" i="20"/>
  <c r="U60" i="4"/>
  <c r="T13" i="10"/>
  <c r="V20" i="11"/>
  <c r="V36" i="17"/>
  <c r="V21" i="11" l="1"/>
  <c r="V25" i="11"/>
  <c r="R6" i="20"/>
  <c r="R28" i="20"/>
  <c r="T8" i="10"/>
  <c r="T6" i="10" s="1"/>
  <c r="T5" i="10" s="1"/>
  <c r="T25" i="10" l="1"/>
  <c r="T26" i="10" s="1"/>
  <c r="T23" i="10"/>
  <c r="V16" i="5"/>
  <c r="V13" i="5" s="1"/>
  <c r="V26" i="11"/>
  <c r="V52" i="4" l="1"/>
  <c r="V30" i="17"/>
  <c r="V21" i="5"/>
  <c r="X14" i="9" s="1"/>
  <c r="X15" i="9" s="1"/>
  <c r="X26" i="9" l="1"/>
  <c r="V20" i="4"/>
  <c r="X22" i="9"/>
  <c r="X21" i="9"/>
  <c r="X23" i="9"/>
  <c r="V38" i="17"/>
  <c r="V27" i="11"/>
  <c r="V28" i="11" l="1"/>
  <c r="V29" i="11" s="1"/>
  <c r="V30" i="11"/>
  <c r="V31" i="11" s="1"/>
  <c r="X25" i="9"/>
  <c r="V57" i="4"/>
  <c r="V15" i="17" s="1"/>
  <c r="V11" i="17" s="1"/>
  <c r="V5" i="17" s="1"/>
  <c r="X24" i="9"/>
  <c r="S21" i="20"/>
  <c r="V19" i="4"/>
  <c r="V12" i="4" s="1"/>
  <c r="V22" i="4" s="1"/>
  <c r="V25" i="4" l="1"/>
  <c r="V26" i="4" s="1"/>
  <c r="V23" i="4"/>
  <c r="S22" i="20"/>
  <c r="S23" i="20" s="1"/>
  <c r="V39" i="17"/>
  <c r="X16" i="9"/>
  <c r="V24" i="4" l="1"/>
  <c r="V27" i="4"/>
  <c r="X29" i="9"/>
  <c r="X27" i="9"/>
  <c r="U20" i="10" s="1"/>
  <c r="S15" i="20" l="1"/>
  <c r="V40" i="17"/>
  <c r="V41" i="17" s="1"/>
  <c r="V31" i="17" s="1"/>
  <c r="X32" i="9" l="1"/>
  <c r="V24" i="17"/>
  <c r="V22" i="17" s="1"/>
  <c r="V51" i="4" l="1"/>
  <c r="V49" i="4" s="1"/>
  <c r="V59" i="4" s="1"/>
  <c r="V18" i="17"/>
  <c r="V17" i="17" s="1"/>
  <c r="W28" i="17"/>
  <c r="U16" i="10"/>
  <c r="U17" i="10" s="1"/>
  <c r="V18" i="11"/>
  <c r="V23" i="11" s="1"/>
  <c r="V85" i="4"/>
  <c r="V84" i="4" s="1"/>
  <c r="V94" i="4" s="1"/>
  <c r="V95" i="4" s="1"/>
  <c r="X33" i="9"/>
  <c r="U21" i="10" s="1"/>
  <c r="U18" i="10" s="1"/>
  <c r="S26" i="20" s="1"/>
  <c r="S5" i="20" l="1"/>
  <c r="V60" i="4"/>
  <c r="U13" i="10"/>
  <c r="V33" i="17"/>
  <c r="V34" i="17" s="1"/>
  <c r="V42" i="17"/>
  <c r="W20" i="11"/>
  <c r="W36" i="17"/>
  <c r="W25" i="11" l="1"/>
  <c r="W21" i="11"/>
  <c r="U8" i="10"/>
  <c r="U6" i="10" s="1"/>
  <c r="U5" i="10" s="1"/>
  <c r="S6" i="20"/>
  <c r="S28" i="20"/>
  <c r="U25" i="10" l="1"/>
  <c r="U26" i="10" s="1"/>
  <c r="U23" i="10"/>
  <c r="W16" i="5"/>
  <c r="W13" i="5" s="1"/>
  <c r="W26" i="11"/>
  <c r="W52" i="4" l="1"/>
  <c r="W30" i="17"/>
  <c r="W21" i="5"/>
  <c r="Y14" i="9" s="1"/>
  <c r="Y15" i="9" s="1"/>
  <c r="W27" i="11" s="1"/>
  <c r="W30" i="11" l="1"/>
  <c r="W31" i="11" s="1"/>
  <c r="W28" i="11"/>
  <c r="W29" i="11" s="1"/>
  <c r="Y21" i="9"/>
  <c r="W20" i="4"/>
  <c r="Y23" i="9"/>
  <c r="Y26" i="9"/>
  <c r="Y22" i="9"/>
  <c r="Y24" i="9" s="1"/>
  <c r="W38" i="17"/>
  <c r="W19" i="4" l="1"/>
  <c r="W12" i="4" s="1"/>
  <c r="W22" i="4" s="1"/>
  <c r="T21" i="20"/>
  <c r="Y25" i="9"/>
  <c r="Y16" i="9" s="1"/>
  <c r="W57" i="4"/>
  <c r="W15" i="17" s="1"/>
  <c r="W11" i="17" s="1"/>
  <c r="W5" i="17" s="1"/>
  <c r="W25" i="4" l="1"/>
  <c r="W26" i="4" s="1"/>
  <c r="W23" i="4"/>
  <c r="W39" i="17"/>
  <c r="Y27" i="9"/>
  <c r="V20" i="10" s="1"/>
  <c r="Y29" i="9"/>
  <c r="T22" i="20"/>
  <c r="T23" i="20" s="1"/>
  <c r="W40" i="17" l="1"/>
  <c r="W41" i="17" s="1"/>
  <c r="W31" i="17" s="1"/>
  <c r="T15" i="20"/>
  <c r="W24" i="4"/>
  <c r="W27" i="4"/>
  <c r="Y32" i="9" l="1"/>
  <c r="W24" i="17"/>
  <c r="W22" i="17" s="1"/>
  <c r="W18" i="11" l="1"/>
  <c r="W23" i="11" s="1"/>
  <c r="V16" i="10"/>
  <c r="V17" i="10" s="1"/>
  <c r="W18" i="17"/>
  <c r="W17" i="17" s="1"/>
  <c r="X28" i="17"/>
  <c r="W51" i="4"/>
  <c r="W49" i="4" s="1"/>
  <c r="W59" i="4" s="1"/>
  <c r="W85" i="4"/>
  <c r="W84" i="4" s="1"/>
  <c r="W94" i="4" s="1"/>
  <c r="W95" i="4" s="1"/>
  <c r="Y33" i="9"/>
  <c r="V21" i="10" s="1"/>
  <c r="V18" i="10" s="1"/>
  <c r="T26" i="20" s="1"/>
  <c r="T5" i="20" l="1"/>
  <c r="W60" i="4"/>
  <c r="X20" i="11"/>
  <c r="X36" i="17"/>
  <c r="W33" i="17"/>
  <c r="W34" i="17" s="1"/>
  <c r="W42" i="17"/>
  <c r="V13" i="10"/>
  <c r="V8" i="10" l="1"/>
  <c r="V6" i="10" s="1"/>
  <c r="V5" i="10" s="1"/>
  <c r="X21" i="11"/>
  <c r="X25" i="11"/>
  <c r="T6" i="20"/>
  <c r="T28" i="20"/>
  <c r="X16" i="5" l="1"/>
  <c r="X26" i="11"/>
  <c r="V25" i="10"/>
  <c r="V26" i="10" s="1"/>
  <c r="V23" i="10"/>
  <c r="X13" i="5" l="1"/>
  <c r="Y16" i="5"/>
  <c r="X30" i="17" l="1"/>
  <c r="X52" i="4"/>
  <c r="Y52" i="4" s="1"/>
  <c r="X21" i="5"/>
  <c r="Y13" i="5"/>
  <c r="Z14" i="9" l="1"/>
  <c r="Y21" i="5"/>
  <c r="D31" i="12" s="1"/>
  <c r="Y30" i="17"/>
  <c r="X38" i="17"/>
  <c r="Z15" i="9" l="1"/>
  <c r="AA14" i="9"/>
  <c r="Z21" i="9" l="1"/>
  <c r="Z23" i="9"/>
  <c r="X20" i="4"/>
  <c r="Z26" i="9"/>
  <c r="AA26" i="9" s="1"/>
  <c r="H36" i="12" s="1"/>
  <c r="Z22" i="9"/>
  <c r="Z24" i="9" s="1"/>
  <c r="AA15" i="9"/>
  <c r="D33" i="12" s="1"/>
  <c r="X27" i="11"/>
  <c r="X30" i="11" l="1"/>
  <c r="X31" i="11" s="1"/>
  <c r="X28" i="11"/>
  <c r="X29" i="11" s="1"/>
  <c r="Y29" i="11" s="1"/>
  <c r="H43" i="12" s="1"/>
  <c r="H34" i="12"/>
  <c r="H35" i="12"/>
  <c r="X19" i="4"/>
  <c r="U21" i="20" s="1"/>
  <c r="Y20" i="4"/>
  <c r="H45" i="12" s="1"/>
  <c r="X57" i="4"/>
  <c r="Z25" i="9"/>
  <c r="Z16" i="9" s="1"/>
  <c r="X15" i="17" l="1"/>
  <c r="Y57" i="4"/>
  <c r="Z57" i="4" s="1"/>
  <c r="X12" i="4"/>
  <c r="Y19" i="4"/>
  <c r="Z27" i="9"/>
  <c r="Z29" i="9"/>
  <c r="AA16" i="9"/>
  <c r="H39" i="12" s="1"/>
  <c r="U22" i="20"/>
  <c r="U23" i="20" s="1"/>
  <c r="U24" i="20" l="1"/>
  <c r="B24" i="20"/>
  <c r="C24" i="20"/>
  <c r="D24" i="20"/>
  <c r="E24" i="20"/>
  <c r="F24" i="20"/>
  <c r="G24" i="20"/>
  <c r="H24" i="20"/>
  <c r="I24" i="20"/>
  <c r="J24" i="20"/>
  <c r="K24" i="20"/>
  <c r="L24" i="20"/>
  <c r="M24" i="20"/>
  <c r="N24" i="20"/>
  <c r="O24" i="20"/>
  <c r="T24" i="20"/>
  <c r="R24" i="20"/>
  <c r="Q24" i="20"/>
  <c r="P24" i="20"/>
  <c r="S24" i="20"/>
  <c r="X40" i="17"/>
  <c r="X41" i="17" s="1"/>
  <c r="X31" i="17" s="1"/>
  <c r="AA29" i="9"/>
  <c r="W20" i="10"/>
  <c r="AA27" i="9"/>
  <c r="X22" i="4"/>
  <c r="Y12" i="4"/>
  <c r="X11" i="17"/>
  <c r="X5" i="17" s="1"/>
  <c r="Y15" i="17"/>
  <c r="Y11" i="17" s="1"/>
  <c r="X25" i="4" l="1"/>
  <c r="I29" i="4"/>
  <c r="H26" i="12" s="1"/>
  <c r="I30" i="4"/>
  <c r="H30" i="12" s="1"/>
  <c r="Y22" i="4"/>
  <c r="X23" i="4"/>
  <c r="X24" i="4" s="1"/>
  <c r="Y24" i="4" s="1"/>
  <c r="I31" i="4" s="1"/>
  <c r="H22" i="12" s="1"/>
  <c r="X22" i="17"/>
  <c r="X39" i="17"/>
  <c r="U15" i="20"/>
  <c r="Z32" i="9"/>
  <c r="Y31" i="17"/>
  <c r="X24" i="17"/>
  <c r="Y24" i="17" s="1"/>
  <c r="Y17" i="17" s="1"/>
  <c r="X18" i="17" l="1"/>
  <c r="X17" i="17" s="1"/>
  <c r="X18" i="11"/>
  <c r="W16" i="10"/>
  <c r="W17" i="10" s="1"/>
  <c r="C22" i="17"/>
  <c r="H40" i="12" s="1"/>
  <c r="H14" i="12" s="1"/>
  <c r="X85" i="4"/>
  <c r="Z33" i="9"/>
  <c r="W21" i="10" s="1"/>
  <c r="W18" i="10" s="1"/>
  <c r="U26" i="20" s="1"/>
  <c r="L29" i="4"/>
  <c r="L30" i="4"/>
  <c r="H24" i="12" s="1"/>
  <c r="X26" i="4"/>
  <c r="X27" i="4" s="1"/>
  <c r="Y27" i="4" s="1"/>
  <c r="L31" i="4" s="1"/>
  <c r="X42" i="17" l="1"/>
  <c r="X33" i="17"/>
  <c r="Y85" i="4"/>
  <c r="H10" i="12"/>
  <c r="H23" i="12"/>
  <c r="W13" i="10"/>
  <c r="X51" i="4"/>
  <c r="X23" i="11"/>
  <c r="Y33" i="17" l="1"/>
  <c r="X34" i="17"/>
  <c r="X49" i="4"/>
  <c r="Y51" i="4"/>
  <c r="X59" i="4" l="1"/>
  <c r="Y49" i="4"/>
  <c r="X88" i="4"/>
  <c r="X86" i="4" s="1"/>
  <c r="X84" i="4" s="1"/>
  <c r="X94" i="4" s="1"/>
  <c r="W8" i="10"/>
  <c r="W6" i="10" s="1"/>
  <c r="W5" i="10" s="1"/>
  <c r="Y34" i="17"/>
  <c r="W25" i="10" l="1"/>
  <c r="W26" i="10" s="1"/>
  <c r="W23" i="10"/>
  <c r="D28" i="10" s="1"/>
  <c r="H38" i="12" s="1"/>
  <c r="H13" i="12" s="1"/>
  <c r="X95" i="4"/>
  <c r="H98" i="4"/>
  <c r="H32" i="12" s="1"/>
  <c r="H97" i="4"/>
  <c r="H28" i="12" s="1"/>
  <c r="U5" i="20"/>
  <c r="Y59" i="4"/>
  <c r="H62" i="4"/>
  <c r="H31" i="12" s="1"/>
  <c r="H61" i="4"/>
  <c r="X60" i="4"/>
  <c r="H11" i="12" l="1"/>
  <c r="H27" i="12"/>
  <c r="U6" i="20"/>
  <c r="U28" i="20"/>
  <c r="U7" i="20" l="1"/>
  <c r="B7" i="20"/>
  <c r="C7" i="20"/>
  <c r="D7" i="20"/>
  <c r="E7" i="20"/>
  <c r="F7" i="20"/>
  <c r="G7" i="20"/>
  <c r="H7" i="20"/>
  <c r="I7" i="20"/>
  <c r="J7" i="20"/>
  <c r="K7" i="20"/>
  <c r="L7" i="20"/>
  <c r="M7" i="20"/>
  <c r="N7" i="20"/>
  <c r="O7" i="20"/>
  <c r="R7" i="20"/>
  <c r="P7" i="20"/>
  <c r="T7" i="20"/>
  <c r="Q7" i="20"/>
  <c r="S7" i="20"/>
  <c r="O8" i="20" l="1"/>
  <c r="O12" i="20"/>
  <c r="O16" i="20"/>
  <c r="M16" i="20"/>
  <c r="M8" i="20"/>
  <c r="M12" i="20"/>
  <c r="J8" i="20"/>
  <c r="J16" i="20"/>
  <c r="J12" i="20"/>
  <c r="I12" i="20"/>
  <c r="I16" i="20"/>
  <c r="I8" i="20"/>
  <c r="H12" i="20"/>
  <c r="H16" i="20"/>
  <c r="H8" i="20"/>
  <c r="G12" i="20"/>
  <c r="G16" i="20"/>
  <c r="G8" i="20"/>
  <c r="F8" i="20"/>
  <c r="F16" i="20"/>
  <c r="F12" i="20"/>
  <c r="R16" i="20"/>
  <c r="R8" i="20"/>
  <c r="R12" i="20"/>
  <c r="K8" i="20"/>
  <c r="K16" i="20"/>
  <c r="K12" i="20"/>
  <c r="E8" i="20"/>
  <c r="E16" i="20"/>
  <c r="E12" i="20"/>
  <c r="N8" i="20"/>
  <c r="N16" i="20"/>
  <c r="N12" i="20"/>
  <c r="L8" i="20"/>
  <c r="L16" i="20"/>
  <c r="L12" i="20"/>
  <c r="S12" i="20"/>
  <c r="S8" i="20"/>
  <c r="S16" i="20"/>
  <c r="D12" i="20"/>
  <c r="D8" i="20"/>
  <c r="D16" i="20"/>
  <c r="Q12" i="20"/>
  <c r="Q8" i="20"/>
  <c r="Q16" i="20"/>
  <c r="C12" i="20"/>
  <c r="C16" i="20"/>
  <c r="C8" i="20"/>
  <c r="T12" i="20"/>
  <c r="T8" i="20"/>
  <c r="T16" i="20"/>
  <c r="B16" i="20"/>
  <c r="B8" i="20"/>
  <c r="B12" i="20"/>
  <c r="P8" i="20"/>
  <c r="P12" i="20"/>
  <c r="P16" i="20"/>
  <c r="U16" i="20"/>
  <c r="U8" i="20"/>
  <c r="U12" i="20"/>
  <c r="N17" i="20" l="1"/>
  <c r="N10" i="20"/>
  <c r="N9" i="20"/>
  <c r="N11" i="20" s="1"/>
  <c r="N27" i="20" s="1"/>
  <c r="Q17" i="20"/>
  <c r="Q10" i="20"/>
  <c r="H9" i="20"/>
  <c r="Q9" i="20"/>
  <c r="Q11" i="20"/>
  <c r="Q27" i="20" s="1"/>
  <c r="E9" i="20"/>
  <c r="E11" i="20" s="1"/>
  <c r="E27" i="20" s="1"/>
  <c r="I10" i="20"/>
  <c r="I17" i="20"/>
  <c r="U10" i="20"/>
  <c r="U17" i="20"/>
  <c r="K10" i="20"/>
  <c r="K17" i="20"/>
  <c r="J17" i="20"/>
  <c r="J10" i="20"/>
  <c r="C9" i="20"/>
  <c r="C17" i="20"/>
  <c r="C10" i="20"/>
  <c r="C11" i="20" s="1"/>
  <c r="C27" i="20" s="1"/>
  <c r="H17" i="20"/>
  <c r="H10" i="20"/>
  <c r="H11" i="20" s="1"/>
  <c r="H27" i="20" s="1"/>
  <c r="E10" i="20"/>
  <c r="E17" i="20"/>
  <c r="I9" i="20"/>
  <c r="I11" i="20"/>
  <c r="I27" i="20" s="1"/>
  <c r="U9" i="20"/>
  <c r="U11" i="20" s="1"/>
  <c r="U27" i="20" s="1"/>
  <c r="D17" i="20"/>
  <c r="D10" i="20"/>
  <c r="P17" i="20"/>
  <c r="P10" i="20"/>
  <c r="D9" i="20"/>
  <c r="D11" i="20" s="1"/>
  <c r="D27" i="20" s="1"/>
  <c r="K9" i="20"/>
  <c r="K11" i="20" s="1"/>
  <c r="K27" i="20" s="1"/>
  <c r="P9" i="20"/>
  <c r="P11" i="20"/>
  <c r="P27" i="20" s="1"/>
  <c r="S17" i="20"/>
  <c r="S10" i="20"/>
  <c r="S11" i="20" s="1"/>
  <c r="S27" i="20" s="1"/>
  <c r="R9" i="20"/>
  <c r="R11" i="20" s="1"/>
  <c r="R27" i="20" s="1"/>
  <c r="J9" i="20"/>
  <c r="J11" i="20" s="1"/>
  <c r="J27" i="20" s="1"/>
  <c r="S9" i="20"/>
  <c r="R10" i="20"/>
  <c r="R17" i="20"/>
  <c r="B9" i="20"/>
  <c r="M9" i="20"/>
  <c r="B17" i="20"/>
  <c r="B10" i="20"/>
  <c r="B11" i="20" s="1"/>
  <c r="F17" i="20"/>
  <c r="F10" i="20"/>
  <c r="M10" i="20"/>
  <c r="M11" i="20" s="1"/>
  <c r="M27" i="20" s="1"/>
  <c r="M17" i="20"/>
  <c r="T10" i="20"/>
  <c r="T17" i="20"/>
  <c r="L17" i="20"/>
  <c r="L10" i="20"/>
  <c r="F9" i="20"/>
  <c r="F11" i="20" s="1"/>
  <c r="F27" i="20" s="1"/>
  <c r="O17" i="20"/>
  <c r="O10" i="20"/>
  <c r="T9" i="20"/>
  <c r="T11" i="20" s="1"/>
  <c r="T27" i="20" s="1"/>
  <c r="L9" i="20"/>
  <c r="L11" i="20"/>
  <c r="L27" i="20" s="1"/>
  <c r="G9" i="20"/>
  <c r="G10" i="20"/>
  <c r="G11" i="20" s="1"/>
  <c r="G27" i="20" s="1"/>
  <c r="G17" i="20"/>
  <c r="O9" i="20"/>
  <c r="O11" i="20" s="1"/>
  <c r="O27" i="20" s="1"/>
  <c r="B27" i="20" l="1"/>
  <c r="D44" i="12"/>
  <c r="D46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肖燕华</author>
  </authors>
  <commentList>
    <comment ref="B29" authorId="0" shapeId="0" xr:uid="{6E2C6A75-F68F-42EF-850D-87DFD90AD48D}">
      <text>
        <r>
          <rPr>
            <sz val="9"/>
            <rFont val="宋体"/>
            <charset val="134"/>
          </rPr>
          <t>质保金3亿元，无需计算利息</t>
        </r>
      </text>
    </comment>
  </commentList>
</comments>
</file>

<file path=xl/sharedStrings.xml><?xml version="1.0" encoding="utf-8"?>
<sst xmlns="http://schemas.openxmlformats.org/spreadsheetml/2006/main" count="705" uniqueCount="475">
  <si>
    <t>工程概况及关键指标表</t>
  </si>
  <si>
    <t>序号</t>
  </si>
  <si>
    <r>
      <t>名</t>
    </r>
    <r>
      <rPr>
        <sz val="11"/>
        <rFont val="Times New Roman"/>
        <family val="1"/>
      </rPr>
      <t xml:space="preserve">               </t>
    </r>
    <r>
      <rPr>
        <sz val="11"/>
        <rFont val="宋体"/>
        <charset val="134"/>
      </rPr>
      <t>称</t>
    </r>
  </si>
  <si>
    <t>指标</t>
  </si>
  <si>
    <t>单位</t>
  </si>
  <si>
    <t>装机容量</t>
  </si>
  <si>
    <r>
      <t>万</t>
    </r>
    <r>
      <rPr>
        <sz val="11"/>
        <rFont val="Times New Roman"/>
        <family val="1"/>
      </rPr>
      <t>kW</t>
    </r>
  </si>
  <si>
    <t>年发电量</t>
  </si>
  <si>
    <r>
      <t>万</t>
    </r>
    <r>
      <rPr>
        <sz val="11"/>
        <rFont val="Times New Roman"/>
        <family val="1"/>
      </rPr>
      <t>kWh</t>
    </r>
  </si>
  <si>
    <t>单位千瓦投资（静态）</t>
  </si>
  <si>
    <r>
      <t>元</t>
    </r>
    <r>
      <rPr>
        <sz val="11"/>
        <rFont val="Times New Roman"/>
        <family val="1"/>
      </rPr>
      <t>/kw</t>
    </r>
  </si>
  <si>
    <t>万元</t>
  </si>
  <si>
    <t>资本金比例设定</t>
  </si>
  <si>
    <t>含税上网电价</t>
  </si>
  <si>
    <r>
      <t>元</t>
    </r>
    <r>
      <rPr>
        <sz val="11"/>
        <rFont val="Times New Roman"/>
        <family val="1"/>
      </rPr>
      <t>/kW·h</t>
    </r>
  </si>
  <si>
    <t>%</t>
  </si>
  <si>
    <t>年发电小时数</t>
  </si>
  <si>
    <t>小时</t>
  </si>
  <si>
    <t>盈利能力指标</t>
  </si>
  <si>
    <t>单位电度投资（动态）</t>
  </si>
  <si>
    <r>
      <t>元</t>
    </r>
    <r>
      <rPr>
        <sz val="11"/>
        <rFont val="Times New Roman"/>
        <family val="1"/>
      </rPr>
      <t>/kwh</t>
    </r>
  </si>
  <si>
    <t>项目投资财务内部收益率（所得税前）</t>
  </si>
  <si>
    <t>经营指标</t>
  </si>
  <si>
    <t>资本金财务内部收益率（所得税后）</t>
  </si>
  <si>
    <t>年均经营成本</t>
  </si>
  <si>
    <t>偿债能力指标</t>
  </si>
  <si>
    <t>单位电度经营成本</t>
  </si>
  <si>
    <t>最大资产负债率</t>
  </si>
  <si>
    <t>单位千瓦经营成本</t>
  </si>
  <si>
    <t>元/kW</t>
  </si>
  <si>
    <t>累计最大短期借款</t>
  </si>
  <si>
    <t>年</t>
  </si>
  <si>
    <t>资本金</t>
  </si>
  <si>
    <t>电价</t>
  </si>
  <si>
    <t>项目投资回收期</t>
  </si>
  <si>
    <t>总投资</t>
  </si>
  <si>
    <t>建设期利息</t>
  </si>
  <si>
    <t>项目投资财务净现值（所得税前 ic=5%）</t>
  </si>
  <si>
    <t>流动资金</t>
  </si>
  <si>
    <t>财务内部收益率（所得税后）</t>
  </si>
  <si>
    <r>
      <t xml:space="preserve">                 </t>
    </r>
    <r>
      <rPr>
        <sz val="11"/>
        <rFont val="宋体"/>
        <charset val="134"/>
      </rPr>
      <t>项目投资</t>
    </r>
  </si>
  <si>
    <t>上网电价（不含增值税）</t>
  </si>
  <si>
    <r>
      <t xml:space="preserve">                 </t>
    </r>
    <r>
      <rPr>
        <sz val="11"/>
        <rFont val="宋体"/>
        <charset val="134"/>
      </rPr>
      <t>资本金</t>
    </r>
  </si>
  <si>
    <t>上网电价（含增值税）</t>
  </si>
  <si>
    <r>
      <t xml:space="preserve">                 </t>
    </r>
    <r>
      <rPr>
        <sz val="11"/>
        <rFont val="宋体"/>
        <charset val="134"/>
      </rPr>
      <t>投资方</t>
    </r>
  </si>
  <si>
    <t>财务净现值（所得税后）</t>
  </si>
  <si>
    <t>发电销售收入总额</t>
  </si>
  <si>
    <r>
      <t xml:space="preserve">                 </t>
    </r>
    <r>
      <rPr>
        <sz val="11"/>
        <rFont val="宋体"/>
        <charset val="134"/>
      </rPr>
      <t>项目投资（</t>
    </r>
    <r>
      <rPr>
        <sz val="11"/>
        <rFont val="Times New Roman"/>
        <family val="1"/>
      </rPr>
      <t>ic=5%</t>
    </r>
    <r>
      <rPr>
        <sz val="11"/>
        <rFont val="宋体"/>
        <charset val="134"/>
      </rPr>
      <t>）</t>
    </r>
  </si>
  <si>
    <t>总成本费用总额</t>
  </si>
  <si>
    <r>
      <t xml:space="preserve">                 </t>
    </r>
    <r>
      <rPr>
        <sz val="11"/>
        <rFont val="宋体"/>
        <charset val="134"/>
      </rPr>
      <t>资本金（</t>
    </r>
    <r>
      <rPr>
        <sz val="11"/>
        <rFont val="Times New Roman"/>
        <family val="1"/>
      </rPr>
      <t>ic=8%</t>
    </r>
    <r>
      <rPr>
        <sz val="11"/>
        <rFont val="宋体"/>
        <charset val="134"/>
      </rPr>
      <t>）</t>
    </r>
  </si>
  <si>
    <t>销售税金附加总额</t>
  </si>
  <si>
    <r>
      <t xml:space="preserve">                 </t>
    </r>
    <r>
      <rPr>
        <sz val="11"/>
        <rFont val="宋体"/>
        <charset val="134"/>
      </rPr>
      <t>投资方（</t>
    </r>
    <r>
      <rPr>
        <sz val="11"/>
        <rFont val="Times New Roman"/>
        <family val="1"/>
      </rPr>
      <t>ic=8%</t>
    </r>
    <r>
      <rPr>
        <sz val="11"/>
        <rFont val="宋体"/>
        <charset val="134"/>
      </rPr>
      <t>）</t>
    </r>
  </si>
  <si>
    <t>发电利润总额</t>
  </si>
  <si>
    <t>投资利润率（生产期平均）</t>
  </si>
  <si>
    <t>投资利税率（生产期平均）</t>
  </si>
  <si>
    <t>资本金净利润率</t>
  </si>
  <si>
    <t>其他指标</t>
  </si>
  <si>
    <t>偿债负债指标</t>
  </si>
  <si>
    <t>最大累计亏损额</t>
  </si>
  <si>
    <r>
      <t>元</t>
    </r>
    <r>
      <rPr>
        <sz val="11"/>
        <rFont val="Times New Roman"/>
        <family val="1"/>
      </rPr>
      <t>/KW</t>
    </r>
  </si>
  <si>
    <t>资本金比例</t>
  </si>
  <si>
    <t>利息备付率（平均）</t>
  </si>
  <si>
    <t>偿债备付率（平均）</t>
  </si>
  <si>
    <t>经营成本</t>
  </si>
  <si>
    <t>项目</t>
  </si>
  <si>
    <t>修理费</t>
  </si>
  <si>
    <t>投资计划与资金筹措表</t>
  </si>
  <si>
    <t>年限</t>
  </si>
  <si>
    <t>合计</t>
  </si>
  <si>
    <t>累计</t>
  </si>
  <si>
    <t>静态投资完成比例</t>
  </si>
  <si>
    <t>资本金使用比例</t>
  </si>
  <si>
    <t>建设投资</t>
  </si>
  <si>
    <t>动态投资</t>
  </si>
  <si>
    <t>资金筹措</t>
  </si>
  <si>
    <t>自有资金</t>
  </si>
  <si>
    <t>2.1.1</t>
  </si>
  <si>
    <t>用于建设投资</t>
  </si>
  <si>
    <t>2.1.2</t>
  </si>
  <si>
    <t>用于流动资金</t>
  </si>
  <si>
    <t>借款</t>
  </si>
  <si>
    <t>2.2.1</t>
  </si>
  <si>
    <t>长期借款</t>
  </si>
  <si>
    <t>2.2.2</t>
  </si>
  <si>
    <t>流动资金借款</t>
  </si>
  <si>
    <t>2.2.3</t>
  </si>
  <si>
    <t>其他短期贷款</t>
  </si>
  <si>
    <t>其他</t>
  </si>
  <si>
    <t>长期借款本金</t>
  </si>
  <si>
    <t>长期借款利息</t>
  </si>
  <si>
    <t>损          益          表</t>
  </si>
  <si>
    <t>运          营          期</t>
  </si>
  <si>
    <r>
      <t>上网电量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万</t>
    </r>
    <r>
      <rPr>
        <sz val="11"/>
        <rFont val="Times New Roman"/>
        <family val="1"/>
      </rPr>
      <t>kW.h)</t>
    </r>
  </si>
  <si>
    <r>
      <t>上网电价（含增值税）</t>
    </r>
    <r>
      <rPr>
        <sz val="10"/>
        <rFont val="Times New Roman"/>
        <family val="1"/>
      </rPr>
      <t>(</t>
    </r>
    <r>
      <rPr>
        <sz val="10"/>
        <rFont val="宋体"/>
        <charset val="134"/>
      </rPr>
      <t>元</t>
    </r>
    <r>
      <rPr>
        <sz val="10"/>
        <rFont val="Times New Roman"/>
        <family val="1"/>
      </rPr>
      <t>/kW.h)</t>
    </r>
  </si>
  <si>
    <r>
      <t>上网电价（不含增值税）</t>
    </r>
    <r>
      <rPr>
        <sz val="10"/>
        <rFont val="Times New Roman"/>
        <family val="1"/>
      </rPr>
      <t>(</t>
    </r>
    <r>
      <rPr>
        <sz val="10"/>
        <rFont val="宋体"/>
        <charset val="134"/>
      </rPr>
      <t>元</t>
    </r>
    <r>
      <rPr>
        <sz val="10"/>
        <rFont val="Times New Roman"/>
        <family val="1"/>
      </rPr>
      <t>/kW.h)</t>
    </r>
  </si>
  <si>
    <t xml:space="preserve"> </t>
  </si>
  <si>
    <t>发电销售收入</t>
  </si>
  <si>
    <t>销售税金附加</t>
  </si>
  <si>
    <t>2.1</t>
  </si>
  <si>
    <t>2.2</t>
  </si>
  <si>
    <t>营业外收入</t>
  </si>
  <si>
    <t>总成本费用</t>
  </si>
  <si>
    <t>利润总额</t>
  </si>
  <si>
    <t>累计税后利润及弥补亏损</t>
  </si>
  <si>
    <t>C</t>
  </si>
  <si>
    <t>所得税</t>
  </si>
  <si>
    <t>所得税率</t>
  </si>
  <si>
    <t>弥补以前年度亏损</t>
  </si>
  <si>
    <t>净利润</t>
  </si>
  <si>
    <t>法定盈余公积金</t>
  </si>
  <si>
    <t>法定公益金</t>
  </si>
  <si>
    <t>可供分配利润</t>
  </si>
  <si>
    <t>偿还上年短期借款需要利润</t>
  </si>
  <si>
    <t>偿还本年长期贷款需要利润</t>
  </si>
  <si>
    <t>实际利润分配</t>
  </si>
  <si>
    <t>未分配利润</t>
  </si>
  <si>
    <t>累计未分配利润</t>
  </si>
  <si>
    <t>设备进项税总额</t>
  </si>
  <si>
    <t>销项税额</t>
  </si>
  <si>
    <t>代抵扣的增值税进项净值</t>
  </si>
  <si>
    <t>进项税额抵扣</t>
  </si>
  <si>
    <t>应交税金</t>
  </si>
  <si>
    <r>
      <t>营业外收入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增值税减半征收</t>
    </r>
    <r>
      <rPr>
        <sz val="11"/>
        <rFont val="Times New Roman"/>
        <family val="1"/>
      </rPr>
      <t>)</t>
    </r>
  </si>
  <si>
    <t>总成本估算表</t>
  </si>
  <si>
    <t>表</t>
  </si>
  <si>
    <t>建设期</t>
  </si>
  <si>
    <t>折旧费</t>
  </si>
  <si>
    <t>工资及福利等</t>
  </si>
  <si>
    <t>境外银行转贷费</t>
  </si>
  <si>
    <t>摊销费</t>
  </si>
  <si>
    <t>利息支出</t>
  </si>
  <si>
    <t xml:space="preserve">  长期贷款利息</t>
  </si>
  <si>
    <t xml:space="preserve">  流动资金贷款利息</t>
  </si>
  <si>
    <t>短期借款利息</t>
  </si>
  <si>
    <t>盈余资金利息收入</t>
  </si>
  <si>
    <r>
      <t xml:space="preserve">       </t>
    </r>
    <r>
      <rPr>
        <sz val="11"/>
        <rFont val="宋体"/>
        <charset val="134"/>
      </rPr>
      <t>固定成本</t>
    </r>
  </si>
  <si>
    <r>
      <t xml:space="preserve">       </t>
    </r>
    <r>
      <rPr>
        <sz val="11"/>
        <rFont val="宋体"/>
        <charset val="134"/>
      </rPr>
      <t>可变成本</t>
    </r>
  </si>
  <si>
    <r>
      <t xml:space="preserve">        </t>
    </r>
    <r>
      <rPr>
        <sz val="11"/>
        <rFont val="宋体"/>
        <charset val="134"/>
      </rPr>
      <t>其中：经营成本</t>
    </r>
  </si>
  <si>
    <t>人民币单位：万元</t>
  </si>
  <si>
    <t>固定资产</t>
  </si>
  <si>
    <t>待抵扣的固定资产进项税额</t>
  </si>
  <si>
    <t>原值</t>
  </si>
  <si>
    <t>当期折旧费</t>
  </si>
  <si>
    <t>净值</t>
  </si>
  <si>
    <t>流动负债-购进固定资产进项税待抵扣估算表</t>
  </si>
  <si>
    <t>递延资产(代抵扣固定资产进项税额)</t>
  </si>
  <si>
    <t>当期摊销费</t>
  </si>
  <si>
    <t>项目现金流量表</t>
  </si>
  <si>
    <t>现金流入</t>
  </si>
  <si>
    <t>1.1</t>
  </si>
  <si>
    <t>增值税销项税额</t>
  </si>
  <si>
    <t>1.2</t>
  </si>
  <si>
    <t>回收固定资产余值</t>
  </si>
  <si>
    <t>1.3</t>
  </si>
  <si>
    <t>回收流动资金</t>
  </si>
  <si>
    <t>现金流出</t>
  </si>
  <si>
    <t>固定资产投资</t>
  </si>
  <si>
    <t>应交增值税金</t>
  </si>
  <si>
    <t>2.4</t>
  </si>
  <si>
    <t>2.5</t>
  </si>
  <si>
    <t>2.7</t>
  </si>
  <si>
    <t>调整所得税</t>
  </si>
  <si>
    <t>息税前利润</t>
  </si>
  <si>
    <t>3</t>
  </si>
  <si>
    <t>净现金流量</t>
  </si>
  <si>
    <t>4</t>
  </si>
  <si>
    <t>累计净现金流量</t>
  </si>
  <si>
    <t>所得税后投资回收年</t>
  </si>
  <si>
    <t>所得税前净现金流量</t>
  </si>
  <si>
    <t>累计税前净现金流量</t>
  </si>
  <si>
    <t>所得税前投资回收年</t>
  </si>
  <si>
    <t>所得税后</t>
  </si>
  <si>
    <t>所得税前</t>
  </si>
  <si>
    <t>计算指标：财务内部收益率(％)</t>
  </si>
  <si>
    <r>
      <t>财务净现值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charset val="134"/>
      </rPr>
      <t>万元</t>
    </r>
    <r>
      <rPr>
        <sz val="11"/>
        <color indexed="8"/>
        <rFont val="Times New Roman"/>
        <family val="1"/>
      </rPr>
      <t>)</t>
    </r>
  </si>
  <si>
    <t>Ic=</t>
  </si>
  <si>
    <r>
      <t>投资回收期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charset val="134"/>
      </rPr>
      <t>含建设期</t>
    </r>
    <r>
      <rPr>
        <sz val="11"/>
        <color indexed="8"/>
        <rFont val="Times New Roman"/>
        <family val="1"/>
      </rPr>
      <t>)(</t>
    </r>
    <r>
      <rPr>
        <sz val="11"/>
        <color indexed="8"/>
        <rFont val="宋体"/>
        <charset val="134"/>
      </rPr>
      <t>年</t>
    </r>
    <r>
      <rPr>
        <sz val="11"/>
        <color indexed="8"/>
        <rFont val="Times New Roman"/>
        <family val="1"/>
      </rPr>
      <t>)</t>
    </r>
  </si>
  <si>
    <t>资本金财务现金流量表</t>
  </si>
  <si>
    <t xml:space="preserve">                                                                                   运          营          期</t>
  </si>
  <si>
    <t>借款本金偿还</t>
  </si>
  <si>
    <t>2.3</t>
  </si>
  <si>
    <t>借款利息支付</t>
  </si>
  <si>
    <t>应交增值税</t>
  </si>
  <si>
    <t>2.8</t>
  </si>
  <si>
    <t xml:space="preserve"> ic=</t>
  </si>
  <si>
    <t>投资方财务现金流量表</t>
  </si>
  <si>
    <t>利润分配</t>
  </si>
  <si>
    <t>资产处置收益分配</t>
  </si>
  <si>
    <t>1.2.1</t>
  </si>
  <si>
    <t>1.2.2</t>
  </si>
  <si>
    <t>1.2.3</t>
  </si>
  <si>
    <t>回收自有流动资金</t>
  </si>
  <si>
    <t>1.2.4</t>
  </si>
  <si>
    <t>回收法定公积金</t>
  </si>
  <si>
    <t>建设投资资本金</t>
  </si>
  <si>
    <t>自有流动资金</t>
  </si>
  <si>
    <t>累计净现金流</t>
  </si>
  <si>
    <r>
      <t>计算指标：投资方财务内部收益率</t>
    </r>
    <r>
      <rPr>
        <sz val="11"/>
        <color indexed="8"/>
        <rFont val="Times New Roman"/>
        <family val="1"/>
      </rPr>
      <t>(%)</t>
    </r>
    <r>
      <rPr>
        <sz val="11"/>
        <color indexed="8"/>
        <rFont val="宋体"/>
        <charset val="134"/>
      </rPr>
      <t>：</t>
    </r>
  </si>
  <si>
    <r>
      <t>投资方财务净现值</t>
    </r>
    <r>
      <rPr>
        <sz val="11"/>
        <color indexed="8"/>
        <rFont val="Times New Roman"/>
        <family val="1"/>
      </rPr>
      <t>(</t>
    </r>
    <r>
      <rPr>
        <sz val="11"/>
        <color indexed="8"/>
        <rFont val="宋体"/>
        <charset val="134"/>
      </rPr>
      <t>万元</t>
    </r>
    <r>
      <rPr>
        <sz val="11"/>
        <color indexed="8"/>
        <rFont val="Times New Roman"/>
        <family val="1"/>
      </rPr>
      <t>)</t>
    </r>
  </si>
  <si>
    <t>资产负债表</t>
  </si>
  <si>
    <t>资产</t>
  </si>
  <si>
    <t>流动资产总值</t>
  </si>
  <si>
    <t>1.1.1</t>
  </si>
  <si>
    <t>流动资产</t>
  </si>
  <si>
    <t>1.1.2</t>
  </si>
  <si>
    <t>累计盈余资金</t>
  </si>
  <si>
    <t>在建工程</t>
  </si>
  <si>
    <t>固定资产净值</t>
  </si>
  <si>
    <t>1.4</t>
  </si>
  <si>
    <t>无形及其他资产净值</t>
  </si>
  <si>
    <t>2</t>
  </si>
  <si>
    <t>负债及所有者权益</t>
  </si>
  <si>
    <t>流动负债总值</t>
  </si>
  <si>
    <t>短期借款</t>
  </si>
  <si>
    <r>
      <t xml:space="preserve">     </t>
    </r>
    <r>
      <rPr>
        <sz val="10.5"/>
        <color indexed="8"/>
        <rFont val="宋体"/>
        <charset val="134"/>
      </rPr>
      <t>负债小计</t>
    </r>
  </si>
  <si>
    <t>所有者权益</t>
  </si>
  <si>
    <t>2.4.1</t>
  </si>
  <si>
    <t>2.4.2</t>
  </si>
  <si>
    <t>累计三金</t>
  </si>
  <si>
    <t>2.4.3</t>
  </si>
  <si>
    <r>
      <t xml:space="preserve">     </t>
    </r>
    <r>
      <rPr>
        <sz val="10.5"/>
        <color indexed="8"/>
        <rFont val="宋体"/>
        <charset val="134"/>
      </rPr>
      <t>资产负债率</t>
    </r>
    <r>
      <rPr>
        <sz val="10.5"/>
        <color indexed="8"/>
        <rFont val="Times New Roman"/>
        <family val="1"/>
      </rPr>
      <t>(%)</t>
    </r>
  </si>
  <si>
    <t>借款还本付息计划表</t>
  </si>
  <si>
    <t>年初借款余额</t>
  </si>
  <si>
    <t>本金</t>
  </si>
  <si>
    <r>
      <t>建设期利息</t>
    </r>
    <r>
      <rPr>
        <sz val="11"/>
        <rFont val="Times New Roman"/>
        <family val="1"/>
      </rPr>
      <t xml:space="preserve"> </t>
    </r>
  </si>
  <si>
    <t>当期还本付息</t>
  </si>
  <si>
    <t>其中：还本</t>
  </si>
  <si>
    <t xml:space="preserve">     付息</t>
  </si>
  <si>
    <t>借款合计</t>
  </si>
  <si>
    <t>息税前利润（EBIT）</t>
  </si>
  <si>
    <t>息税前利润(含增值税）</t>
  </si>
  <si>
    <t>利息备付率（ICR）</t>
  </si>
  <si>
    <t>ebitda</t>
  </si>
  <si>
    <t>ebitda+-tax</t>
  </si>
  <si>
    <r>
      <t>偿债备付率（</t>
    </r>
    <r>
      <rPr>
        <b/>
        <sz val="10"/>
        <rFont val="Times New Roman"/>
        <family val="1"/>
      </rPr>
      <t>dscr</t>
    </r>
    <r>
      <rPr>
        <b/>
        <sz val="10"/>
        <rFont val="宋体"/>
        <charset val="134"/>
      </rPr>
      <t>）</t>
    </r>
  </si>
  <si>
    <r>
      <rPr>
        <b/>
        <sz val="16"/>
        <color indexed="8"/>
        <rFont val="宋体"/>
        <charset val="134"/>
      </rPr>
      <t>财务计划现金流量表</t>
    </r>
  </si>
  <si>
    <r>
      <rPr>
        <sz val="12"/>
        <color indexed="8"/>
        <rFont val="宋体"/>
        <charset val="134"/>
      </rPr>
      <t>附表</t>
    </r>
    <r>
      <rPr>
        <sz val="12"/>
        <color indexed="8"/>
        <rFont val="Arial"/>
        <family val="2"/>
      </rPr>
      <t>7</t>
    </r>
  </si>
  <si>
    <r>
      <rPr>
        <sz val="9"/>
        <color indexed="8"/>
        <rFont val="宋体"/>
        <charset val="134"/>
      </rPr>
      <t>单位：万元</t>
    </r>
  </si>
  <si>
    <r>
      <rPr>
        <b/>
        <sz val="10"/>
        <color indexed="8"/>
        <rFont val="宋体"/>
        <charset val="134"/>
      </rPr>
      <t>序号</t>
    </r>
  </si>
  <si>
    <r>
      <rPr>
        <b/>
        <sz val="10"/>
        <color indexed="8"/>
        <rFont val="宋体"/>
        <charset val="134"/>
      </rPr>
      <t>项</t>
    </r>
    <r>
      <rPr>
        <b/>
        <sz val="10"/>
        <color indexed="8"/>
        <rFont val="Arial"/>
        <family val="2"/>
      </rPr>
      <t xml:space="preserve">  </t>
    </r>
    <r>
      <rPr>
        <b/>
        <sz val="10"/>
        <color indexed="8"/>
        <rFont val="宋体"/>
        <charset val="134"/>
      </rPr>
      <t>目</t>
    </r>
  </si>
  <si>
    <r>
      <rPr>
        <b/>
        <sz val="10"/>
        <color indexed="8"/>
        <rFont val="宋体"/>
        <charset val="134"/>
      </rPr>
      <t>合计</t>
    </r>
  </si>
  <si>
    <r>
      <t xml:space="preserve">运 </t>
    </r>
    <r>
      <rPr>
        <sz val="10"/>
        <rFont val="宋体"/>
        <charset val="134"/>
      </rPr>
      <t xml:space="preserve">         </t>
    </r>
    <r>
      <rPr>
        <sz val="10"/>
        <rFont val="宋体"/>
        <charset val="134"/>
      </rPr>
      <t>营</t>
    </r>
    <r>
      <rPr>
        <sz val="10"/>
        <rFont val="宋体"/>
        <charset val="134"/>
      </rPr>
      <t xml:space="preserve">             </t>
    </r>
    <r>
      <rPr>
        <sz val="10"/>
        <rFont val="宋体"/>
        <charset val="134"/>
      </rPr>
      <t>期</t>
    </r>
  </si>
  <si>
    <r>
      <rPr>
        <b/>
        <sz val="10"/>
        <color indexed="8"/>
        <rFont val="宋体"/>
        <charset val="134"/>
      </rPr>
      <t>经营活动净现金流量</t>
    </r>
  </si>
  <si>
    <r>
      <rPr>
        <b/>
        <sz val="10"/>
        <color indexed="8"/>
        <rFont val="宋体"/>
        <charset val="134"/>
      </rPr>
      <t>现金流入</t>
    </r>
  </si>
  <si>
    <r>
      <rPr>
        <sz val="10"/>
        <color indexed="8"/>
        <rFont val="宋体"/>
        <charset val="134"/>
      </rPr>
      <t>销售收入</t>
    </r>
  </si>
  <si>
    <t>1.1.3</t>
  </si>
  <si>
    <r>
      <rPr>
        <sz val="10"/>
        <color indexed="8"/>
        <rFont val="宋体"/>
        <charset val="134"/>
      </rPr>
      <t>回收流动资金</t>
    </r>
  </si>
  <si>
    <r>
      <rPr>
        <b/>
        <sz val="10"/>
        <color indexed="8"/>
        <rFont val="宋体"/>
        <charset val="134"/>
      </rPr>
      <t>现金流出</t>
    </r>
  </si>
  <si>
    <r>
      <rPr>
        <sz val="10"/>
        <color indexed="8"/>
        <rFont val="宋体"/>
        <charset val="134"/>
      </rPr>
      <t>经营成本</t>
    </r>
  </si>
  <si>
    <r>
      <rPr>
        <sz val="10"/>
        <color indexed="8"/>
        <rFont val="宋体"/>
        <charset val="134"/>
      </rPr>
      <t>城建税及教育附加</t>
    </r>
  </si>
  <si>
    <r>
      <rPr>
        <sz val="10"/>
        <color indexed="8"/>
        <rFont val="宋体"/>
        <charset val="134"/>
      </rPr>
      <t>所得税</t>
    </r>
  </si>
  <si>
    <t>1.2.5</t>
  </si>
  <si>
    <r>
      <rPr>
        <sz val="10"/>
        <color indexed="8"/>
        <rFont val="宋体"/>
        <charset val="134"/>
      </rPr>
      <t>其他流出</t>
    </r>
  </si>
  <si>
    <r>
      <rPr>
        <b/>
        <sz val="10"/>
        <color indexed="8"/>
        <rFont val="宋体"/>
        <charset val="134"/>
      </rPr>
      <t>投资、筹资活动净现金流量</t>
    </r>
  </si>
  <si>
    <r>
      <rPr>
        <sz val="10"/>
        <color indexed="8"/>
        <rFont val="宋体"/>
        <charset val="134"/>
      </rPr>
      <t>项目资本金投入</t>
    </r>
  </si>
  <si>
    <r>
      <rPr>
        <sz val="10"/>
        <color indexed="8"/>
        <rFont val="宋体"/>
        <charset val="134"/>
      </rPr>
      <t>建设投资借款</t>
    </r>
  </si>
  <si>
    <t>2.1.3</t>
  </si>
  <si>
    <r>
      <rPr>
        <sz val="10"/>
        <color indexed="8"/>
        <rFont val="宋体"/>
        <charset val="134"/>
      </rPr>
      <t>流动资金借款</t>
    </r>
  </si>
  <si>
    <t>2.1.4</t>
  </si>
  <si>
    <r>
      <rPr>
        <sz val="10"/>
        <color indexed="8"/>
        <rFont val="宋体"/>
        <charset val="134"/>
      </rPr>
      <t>短期借款</t>
    </r>
  </si>
  <si>
    <t>2.1.5</t>
  </si>
  <si>
    <r>
      <rPr>
        <sz val="10"/>
        <color indexed="8"/>
        <rFont val="宋体"/>
        <charset val="134"/>
      </rPr>
      <t>回收固定资产余值</t>
    </r>
  </si>
  <si>
    <r>
      <rPr>
        <sz val="10"/>
        <color indexed="8"/>
        <rFont val="宋体"/>
        <charset val="134"/>
      </rPr>
      <t>建设投资</t>
    </r>
  </si>
  <si>
    <r>
      <rPr>
        <sz val="10"/>
        <color indexed="8"/>
        <rFont val="宋体"/>
        <charset val="134"/>
      </rPr>
      <t>流动资金</t>
    </r>
  </si>
  <si>
    <t>长期借款本金偿还</t>
  </si>
  <si>
    <t>短期借款本金偿还</t>
  </si>
  <si>
    <t>流动负债本金偿还</t>
  </si>
  <si>
    <t>2.2.4</t>
  </si>
  <si>
    <r>
      <rPr>
        <sz val="10"/>
        <color indexed="8"/>
        <rFont val="宋体"/>
        <charset val="134"/>
      </rPr>
      <t>各种利息支出</t>
    </r>
  </si>
  <si>
    <t>2.2.5</t>
  </si>
  <si>
    <r>
      <rPr>
        <sz val="10"/>
        <color indexed="8"/>
        <rFont val="宋体"/>
        <charset val="134"/>
      </rPr>
      <t>各投资方利润分配</t>
    </r>
  </si>
  <si>
    <t>2.2.6</t>
  </si>
  <si>
    <r>
      <rPr>
        <b/>
        <sz val="10"/>
        <color indexed="8"/>
        <rFont val="宋体"/>
        <charset val="134"/>
      </rPr>
      <t>净现金流量</t>
    </r>
  </si>
  <si>
    <r>
      <rPr>
        <b/>
        <sz val="10"/>
        <color indexed="8"/>
        <rFont val="宋体"/>
        <charset val="134"/>
      </rPr>
      <t>累计盈余资金</t>
    </r>
  </si>
  <si>
    <t>收益现值法</t>
  </si>
  <si>
    <t>财务指标汇总表</t>
    <phoneticPr fontId="61" type="noConversion"/>
  </si>
  <si>
    <t>净现金流量</t>
    <phoneticPr fontId="61" type="noConversion"/>
  </si>
  <si>
    <t>终值</t>
    <phoneticPr fontId="61" type="noConversion"/>
  </si>
  <si>
    <t>卖出价格</t>
    <phoneticPr fontId="61" type="noConversion"/>
  </si>
  <si>
    <r>
      <t>10%</t>
    </r>
    <r>
      <rPr>
        <sz val="11"/>
        <rFont val="宋体"/>
        <charset val="134"/>
      </rPr>
      <t>股权卖出价格</t>
    </r>
    <phoneticPr fontId="61" type="noConversion"/>
  </si>
  <si>
    <t>运营年</t>
    <phoneticPr fontId="61" type="noConversion"/>
  </si>
  <si>
    <t>市场价值法：自由现金流量=息前税后利润+所得税抵扣额+折旧及摊销-资本性支出-营运资金追加额</t>
    <phoneticPr fontId="61" type="noConversion"/>
  </si>
  <si>
    <t>该年末卖出价格</t>
    <phoneticPr fontId="61" type="noConversion"/>
  </si>
  <si>
    <t>资本性支出</t>
    <phoneticPr fontId="61" type="noConversion"/>
  </si>
  <si>
    <t>息税前利润-调整所得税+折旧摊销</t>
    <phoneticPr fontId="61" type="noConversion"/>
  </si>
  <si>
    <t>备注：上述价格仅为未来现金流，不包括公司账面盈余资金。</t>
    <phoneticPr fontId="61" type="noConversion"/>
  </si>
  <si>
    <t>累计未分配利润</t>
    <phoneticPr fontId="61" type="noConversion"/>
  </si>
  <si>
    <t>溢价率</t>
    <phoneticPr fontId="61" type="noConversion"/>
  </si>
  <si>
    <t>资本金</t>
    <phoneticPr fontId="61" type="noConversion"/>
  </si>
  <si>
    <t>股权+利润分配</t>
    <phoneticPr fontId="61" type="noConversion"/>
  </si>
  <si>
    <t>材料费</t>
    <phoneticPr fontId="61" type="noConversion"/>
  </si>
  <si>
    <t>保险费</t>
    <phoneticPr fontId="61" type="noConversion"/>
  </si>
  <si>
    <t>静态投资</t>
    <phoneticPr fontId="63" type="noConversion"/>
  </si>
  <si>
    <t>a</t>
    <phoneticPr fontId="63" type="noConversion"/>
  </si>
  <si>
    <t>合计</t>
    <phoneticPr fontId="63" type="noConversion"/>
  </si>
  <si>
    <t>i</t>
    <phoneticPr fontId="63" type="noConversion"/>
  </si>
  <si>
    <t>资本金</t>
    <phoneticPr fontId="63" type="noConversion"/>
  </si>
  <si>
    <t>b</t>
    <phoneticPr fontId="63" type="noConversion"/>
  </si>
  <si>
    <t>贷款</t>
    <phoneticPr fontId="63" type="noConversion"/>
  </si>
  <si>
    <t>年度静态投资</t>
    <phoneticPr fontId="63" type="noConversion"/>
  </si>
  <si>
    <t>年度资本金</t>
    <phoneticPr fontId="63" type="noConversion"/>
  </si>
  <si>
    <t>年度贷款</t>
    <phoneticPr fontId="63" type="noConversion"/>
  </si>
  <si>
    <t>年度利息</t>
    <phoneticPr fontId="63" type="noConversion"/>
  </si>
  <si>
    <r>
      <t>100%</t>
    </r>
    <r>
      <rPr>
        <sz val="11"/>
        <rFont val="宋体"/>
        <charset val="134"/>
      </rPr>
      <t>股权卖出价格</t>
    </r>
    <phoneticPr fontId="61" type="noConversion"/>
  </si>
  <si>
    <t>可分配利润</t>
    <phoneticPr fontId="61" type="noConversion"/>
  </si>
  <si>
    <t>不含利润分配的流出</t>
    <phoneticPr fontId="61" type="noConversion"/>
  </si>
  <si>
    <t>净现金流（不含利润分配）</t>
    <phoneticPr fontId="61" type="noConversion"/>
  </si>
  <si>
    <t>实际分配利润</t>
    <phoneticPr fontId="61" type="noConversion"/>
  </si>
  <si>
    <t>增值税</t>
    <phoneticPr fontId="61" type="noConversion"/>
  </si>
  <si>
    <t>累计盈余资金</t>
    <phoneticPr fontId="61" type="noConversion"/>
  </si>
  <si>
    <t>所得税</t>
    <phoneticPr fontId="61" type="noConversion"/>
  </si>
  <si>
    <t>印花税</t>
    <phoneticPr fontId="61" type="noConversion"/>
  </si>
  <si>
    <t>税后收益</t>
    <phoneticPr fontId="61" type="noConversion"/>
  </si>
  <si>
    <t>所有者权益</t>
    <phoneticPr fontId="61" type="noConversion"/>
  </si>
  <si>
    <t>基准内部收益率</t>
    <phoneticPr fontId="61" type="noConversion"/>
  </si>
  <si>
    <t>全部贷款还贷年限（不含建设期）</t>
    <phoneticPr fontId="61" type="noConversion"/>
  </si>
  <si>
    <t>长期借款还贷年限（不含建设期）</t>
    <phoneticPr fontId="61" type="noConversion"/>
  </si>
  <si>
    <t>长期待摊费用</t>
    <phoneticPr fontId="61" type="noConversion"/>
  </si>
  <si>
    <t>长期待摊租金</t>
    <phoneticPr fontId="61" type="noConversion"/>
  </si>
  <si>
    <t>动态投资</t>
    <phoneticPr fontId="61" type="noConversion"/>
  </si>
  <si>
    <t>静态投资</t>
    <phoneticPr fontId="61" type="noConversion"/>
  </si>
  <si>
    <t>回收固定资产和无形资产余值</t>
    <phoneticPr fontId="61" type="noConversion"/>
  </si>
  <si>
    <t>回收累计盈余资金（含法定公积金）</t>
    <phoneticPr fontId="61" type="noConversion"/>
  </si>
  <si>
    <t>土地租金</t>
    <phoneticPr fontId="61" type="noConversion"/>
  </si>
  <si>
    <t>应缴增值税</t>
    <phoneticPr fontId="61" type="noConversion"/>
  </si>
  <si>
    <t>大额租金</t>
    <phoneticPr fontId="61" type="noConversion"/>
  </si>
  <si>
    <t>c</t>
    <phoneticPr fontId="61" type="noConversion"/>
  </si>
  <si>
    <t>j</t>
    <phoneticPr fontId="61" type="noConversion"/>
  </si>
  <si>
    <t>D</t>
    <phoneticPr fontId="63" type="noConversion"/>
  </si>
  <si>
    <t>动态投资</t>
    <phoneticPr fontId="63" type="noConversion"/>
  </si>
  <si>
    <t>Z</t>
    <phoneticPr fontId="61" type="noConversion"/>
  </si>
  <si>
    <t>总投资</t>
    <phoneticPr fontId="61" type="noConversion"/>
  </si>
  <si>
    <t>其他费用</t>
    <phoneticPr fontId="61" type="noConversion"/>
  </si>
  <si>
    <t>万元</t>
    <phoneticPr fontId="61" type="noConversion"/>
  </si>
  <si>
    <t>增值税即征即退补贴</t>
    <phoneticPr fontId="61" type="noConversion"/>
  </si>
  <si>
    <t>教育费附加</t>
    <phoneticPr fontId="61" type="noConversion"/>
  </si>
  <si>
    <t>城市维护建设费</t>
    <phoneticPr fontId="61" type="noConversion"/>
  </si>
  <si>
    <t>营业外收入(增值税即征即退)</t>
    <phoneticPr fontId="61" type="noConversion"/>
  </si>
  <si>
    <t>8.3.1</t>
    <phoneticPr fontId="61" type="noConversion"/>
  </si>
  <si>
    <t>8.3.2</t>
    <phoneticPr fontId="61" type="noConversion"/>
  </si>
  <si>
    <t>8.5.1</t>
    <phoneticPr fontId="61" type="noConversion"/>
  </si>
  <si>
    <t>8.5.2</t>
    <phoneticPr fontId="61" type="noConversion"/>
  </si>
  <si>
    <t>8.5.3</t>
    <phoneticPr fontId="61" type="noConversion"/>
  </si>
  <si>
    <t>2.2.1.1</t>
    <phoneticPr fontId="61" type="noConversion"/>
  </si>
  <si>
    <t>2.2.1.2</t>
    <phoneticPr fontId="61" type="noConversion"/>
  </si>
  <si>
    <r>
      <t>元</t>
    </r>
    <r>
      <rPr>
        <sz val="11"/>
        <rFont val="Times New Roman"/>
        <family val="1"/>
      </rPr>
      <t>/kW·h</t>
    </r>
    <phoneticPr fontId="61" type="noConversion"/>
  </si>
  <si>
    <t>辅助测算表</t>
    <phoneticPr fontId="61" type="noConversion"/>
  </si>
  <si>
    <t>建设期</t>
    <phoneticPr fontId="61" type="noConversion"/>
  </si>
  <si>
    <t>运营期</t>
    <phoneticPr fontId="61" type="noConversion"/>
  </si>
  <si>
    <t>%</t>
    <phoneticPr fontId="61" type="noConversion"/>
  </si>
  <si>
    <t>股权出售净利润</t>
    <phoneticPr fontId="61" type="noConversion"/>
  </si>
  <si>
    <t>资本金出资额</t>
    <phoneticPr fontId="61" type="noConversion"/>
  </si>
  <si>
    <t>贷款还贷年限（不含建设期）</t>
    <phoneticPr fontId="61" type="noConversion"/>
  </si>
  <si>
    <t>hm2/10MW</t>
  </si>
  <si>
    <t>新增亏损</t>
    <phoneticPr fontId="61" type="noConversion"/>
  </si>
  <si>
    <t>到期亏损</t>
    <phoneticPr fontId="61" type="noConversion"/>
  </si>
  <si>
    <r>
      <t>计算指标：资本金财务内部收益率</t>
    </r>
    <r>
      <rPr>
        <sz val="11"/>
        <rFont val="Times New Roman"/>
        <family val="1"/>
      </rPr>
      <t>(%)</t>
    </r>
    <r>
      <rPr>
        <sz val="11"/>
        <rFont val="宋体"/>
        <charset val="134"/>
      </rPr>
      <t>：</t>
    </r>
  </si>
  <si>
    <r>
      <t>资本金财务净现值</t>
    </r>
    <r>
      <rPr>
        <sz val="11"/>
        <rFont val="Times New Roman"/>
        <family val="1"/>
      </rPr>
      <t>(</t>
    </r>
    <r>
      <rPr>
        <sz val="11"/>
        <rFont val="宋体"/>
        <charset val="134"/>
      </rPr>
      <t>万元</t>
    </r>
    <r>
      <rPr>
        <sz val="11"/>
        <rFont val="Times New Roman"/>
        <family val="1"/>
      </rPr>
      <t>)</t>
    </r>
  </si>
  <si>
    <t>增值税即征即退补贴</t>
    <phoneticPr fontId="61" type="noConversion"/>
  </si>
  <si>
    <t>1.1.4</t>
    <phoneticPr fontId="61" type="noConversion"/>
  </si>
  <si>
    <t>补贴未到位资金</t>
    <phoneticPr fontId="61" type="noConversion"/>
  </si>
  <si>
    <t>1.1.3</t>
    <phoneticPr fontId="61" type="noConversion"/>
  </si>
  <si>
    <t>应收账款</t>
    <phoneticPr fontId="61" type="noConversion"/>
  </si>
  <si>
    <t>EPC净利润</t>
    <phoneticPr fontId="61" type="noConversion"/>
  </si>
  <si>
    <t>电站转让净利润+EPC净利润</t>
    <phoneticPr fontId="61" type="noConversion"/>
  </si>
  <si>
    <t>电站转让净利润</t>
    <phoneticPr fontId="61" type="noConversion"/>
  </si>
  <si>
    <r>
      <rPr>
        <sz val="11"/>
        <rFont val="宋体"/>
        <charset val="134"/>
      </rPr>
      <t>序号</t>
    </r>
  </si>
  <si>
    <r>
      <rPr>
        <sz val="11"/>
        <rFont val="宋体"/>
        <charset val="134"/>
      </rPr>
      <t>名</t>
    </r>
    <r>
      <rPr>
        <sz val="11"/>
        <rFont val="Times New Roman"/>
        <family val="1"/>
      </rPr>
      <t xml:space="preserve">               </t>
    </r>
    <r>
      <rPr>
        <sz val="11"/>
        <rFont val="宋体"/>
        <charset val="134"/>
      </rPr>
      <t>称</t>
    </r>
  </si>
  <si>
    <r>
      <rPr>
        <sz val="11"/>
        <rFont val="宋体"/>
        <charset val="134"/>
      </rPr>
      <t>指标</t>
    </r>
  </si>
  <si>
    <r>
      <rPr>
        <sz val="11"/>
        <rFont val="宋体"/>
        <charset val="134"/>
      </rPr>
      <t>单位</t>
    </r>
  </si>
  <si>
    <r>
      <rPr>
        <sz val="11"/>
        <rFont val="宋体"/>
        <charset val="134"/>
      </rPr>
      <t>说明</t>
    </r>
    <phoneticPr fontId="61" type="noConversion"/>
  </si>
  <si>
    <r>
      <rPr>
        <sz val="11"/>
        <rFont val="宋体"/>
        <charset val="134"/>
      </rPr>
      <t>装机容量</t>
    </r>
  </si>
  <si>
    <r>
      <rPr>
        <sz val="11"/>
        <rFont val="宋体"/>
        <charset val="134"/>
      </rPr>
      <t>万</t>
    </r>
    <r>
      <rPr>
        <sz val="11"/>
        <rFont val="Times New Roman"/>
        <family val="1"/>
      </rPr>
      <t>kW</t>
    </r>
  </si>
  <si>
    <r>
      <rPr>
        <sz val="11"/>
        <rFont val="宋体"/>
        <charset val="134"/>
      </rPr>
      <t>数据来源：预可行性研究报告或可行性研究报告</t>
    </r>
  </si>
  <si>
    <r>
      <rPr>
        <sz val="11"/>
        <rFont val="宋体"/>
        <charset val="134"/>
      </rPr>
      <t>利用小时数</t>
    </r>
    <phoneticPr fontId="61" type="noConversion"/>
  </si>
  <si>
    <r>
      <rPr>
        <sz val="11"/>
        <rFont val="宋体"/>
        <charset val="134"/>
      </rPr>
      <t>小时</t>
    </r>
    <phoneticPr fontId="61" type="noConversion"/>
  </si>
  <si>
    <r>
      <rPr>
        <sz val="11"/>
        <rFont val="宋体"/>
        <charset val="134"/>
      </rPr>
      <t>运营年度</t>
    </r>
    <phoneticPr fontId="61" type="noConversion"/>
  </si>
  <si>
    <r>
      <rPr>
        <sz val="11"/>
        <rFont val="宋体"/>
        <charset val="134"/>
      </rPr>
      <t>负荷率</t>
    </r>
  </si>
  <si>
    <r>
      <rPr>
        <sz val="11"/>
        <rFont val="宋体"/>
        <charset val="134"/>
      </rPr>
      <t>上网电价</t>
    </r>
    <phoneticPr fontId="61" type="noConversion"/>
  </si>
  <si>
    <r>
      <rPr>
        <sz val="11"/>
        <rFont val="宋体"/>
        <charset val="134"/>
      </rPr>
      <t>元</t>
    </r>
    <r>
      <rPr>
        <sz val="11"/>
        <rFont val="Times New Roman"/>
        <family val="1"/>
      </rPr>
      <t>/kW·h</t>
    </r>
  </si>
  <si>
    <r>
      <rPr>
        <sz val="11"/>
        <rFont val="宋体"/>
        <charset val="134"/>
      </rPr>
      <t>无补贴上网电价</t>
    </r>
    <phoneticPr fontId="61" type="noConversion"/>
  </si>
  <si>
    <r>
      <rPr>
        <sz val="11"/>
        <rFont val="宋体"/>
        <charset val="134"/>
      </rPr>
      <t>度电补贴强度</t>
    </r>
    <phoneticPr fontId="61" type="noConversion"/>
  </si>
  <si>
    <r>
      <rPr>
        <sz val="11"/>
        <rFont val="宋体"/>
        <charset val="134"/>
      </rPr>
      <t>补贴到位率</t>
    </r>
    <phoneticPr fontId="61" type="noConversion"/>
  </si>
  <si>
    <r>
      <rPr>
        <sz val="11"/>
        <rFont val="宋体"/>
        <charset val="134"/>
      </rPr>
      <t>静态投资</t>
    </r>
    <phoneticPr fontId="61" type="noConversion"/>
  </si>
  <si>
    <r>
      <rPr>
        <sz val="11"/>
        <rFont val="宋体"/>
        <charset val="134"/>
      </rPr>
      <t>万元</t>
    </r>
    <phoneticPr fontId="61" type="noConversion"/>
  </si>
  <si>
    <r>
      <rPr>
        <sz val="11"/>
        <rFont val="宋体"/>
        <charset val="134"/>
      </rPr>
      <t>建安工程费</t>
    </r>
    <phoneticPr fontId="61" type="noConversion"/>
  </si>
  <si>
    <r>
      <rPr>
        <sz val="11"/>
        <rFont val="宋体"/>
        <charset val="134"/>
      </rPr>
      <t>设备购置费</t>
    </r>
    <phoneticPr fontId="61" type="noConversion"/>
  </si>
  <si>
    <r>
      <rPr>
        <sz val="11"/>
        <rFont val="宋体"/>
        <charset val="134"/>
      </rPr>
      <t>其他费用</t>
    </r>
    <phoneticPr fontId="61" type="noConversion"/>
  </si>
  <si>
    <r>
      <rPr>
        <sz val="11"/>
        <rFont val="宋体"/>
        <charset val="134"/>
      </rPr>
      <t>其中：建设用地费</t>
    </r>
    <phoneticPr fontId="61" type="noConversion"/>
  </si>
  <si>
    <r>
      <rPr>
        <sz val="11"/>
        <rFont val="宋体"/>
        <charset val="134"/>
      </rPr>
      <t>其中：勘察设计费</t>
    </r>
    <phoneticPr fontId="61" type="noConversion"/>
  </si>
  <si>
    <r>
      <rPr>
        <sz val="11"/>
        <rFont val="宋体"/>
        <charset val="134"/>
      </rPr>
      <t>基本预备费</t>
    </r>
    <phoneticPr fontId="61" type="noConversion"/>
  </si>
  <si>
    <r>
      <rPr>
        <sz val="11"/>
        <rFont val="宋体"/>
        <charset val="134"/>
      </rPr>
      <t>单位静态投资</t>
    </r>
    <phoneticPr fontId="61" type="noConversion"/>
  </si>
  <si>
    <r>
      <rPr>
        <sz val="11"/>
        <rFont val="宋体"/>
        <charset val="134"/>
      </rPr>
      <t>元</t>
    </r>
    <r>
      <rPr>
        <sz val="11"/>
        <rFont val="Times New Roman"/>
        <family val="1"/>
      </rPr>
      <t>/kW</t>
    </r>
    <phoneticPr fontId="61" type="noConversion"/>
  </si>
  <si>
    <r>
      <t>EPC</t>
    </r>
    <r>
      <rPr>
        <sz val="11"/>
        <rFont val="宋体"/>
        <charset val="134"/>
      </rPr>
      <t>单价</t>
    </r>
    <phoneticPr fontId="61" type="noConversion"/>
  </si>
  <si>
    <r>
      <rPr>
        <sz val="11"/>
        <rFont val="宋体"/>
        <charset val="134"/>
      </rPr>
      <t>建设期可抵扣增值税</t>
    </r>
    <phoneticPr fontId="61" type="noConversion"/>
  </si>
  <si>
    <r>
      <rPr>
        <sz val="11"/>
        <rFont val="宋体"/>
        <charset val="134"/>
      </rPr>
      <t>建安工程费增值税税率</t>
    </r>
    <phoneticPr fontId="61" type="noConversion"/>
  </si>
  <si>
    <r>
      <rPr>
        <sz val="11"/>
        <rFont val="宋体"/>
        <charset val="134"/>
      </rPr>
      <t>可不调整</t>
    </r>
    <phoneticPr fontId="61" type="noConversion"/>
  </si>
  <si>
    <r>
      <rPr>
        <sz val="11"/>
        <rFont val="宋体"/>
        <charset val="134"/>
      </rPr>
      <t>设备购置费增值税税率</t>
    </r>
    <phoneticPr fontId="61" type="noConversion"/>
  </si>
  <si>
    <r>
      <rPr>
        <sz val="11"/>
        <rFont val="宋体"/>
        <charset val="134"/>
      </rPr>
      <t>勘察设计费增值税税率</t>
    </r>
    <phoneticPr fontId="61" type="noConversion"/>
  </si>
  <si>
    <r>
      <rPr>
        <sz val="11"/>
        <rFont val="宋体"/>
        <charset val="134"/>
      </rPr>
      <t>流动资金总额</t>
    </r>
  </si>
  <si>
    <r>
      <rPr>
        <sz val="11"/>
        <rFont val="宋体"/>
        <charset val="134"/>
      </rPr>
      <t>万元</t>
    </r>
  </si>
  <si>
    <r>
      <rPr>
        <sz val="11"/>
        <rFont val="宋体"/>
        <charset val="134"/>
      </rPr>
      <t>资本金比例</t>
    </r>
    <phoneticPr fontId="61" type="noConversion"/>
  </si>
  <si>
    <r>
      <rPr>
        <sz val="11"/>
        <rFont val="宋体"/>
        <charset val="134"/>
      </rPr>
      <t>根据《国务院关于加强固定资产投资项目资本金管理的通知》（国发〔</t>
    </r>
    <r>
      <rPr>
        <sz val="11"/>
        <rFont val="Times New Roman"/>
        <family val="1"/>
      </rPr>
      <t>2019</t>
    </r>
    <r>
      <rPr>
        <sz val="11"/>
        <rFont val="宋体"/>
        <charset val="134"/>
      </rPr>
      <t>〕</t>
    </r>
    <r>
      <rPr>
        <sz val="11"/>
        <rFont val="Times New Roman"/>
        <family val="1"/>
      </rPr>
      <t>26</t>
    </r>
    <r>
      <rPr>
        <sz val="11"/>
        <rFont val="宋体"/>
        <charset val="134"/>
      </rPr>
      <t>号），电力项目最低资本金比例取</t>
    </r>
    <r>
      <rPr>
        <sz val="11"/>
        <rFont val="Times New Roman"/>
        <family val="1"/>
      </rPr>
      <t>20%</t>
    </r>
    <r>
      <rPr>
        <sz val="11"/>
        <rFont val="宋体"/>
        <charset val="134"/>
      </rPr>
      <t>。须与可行性研究报告一致。计算资本金基数的总投资，是指投资项目的固定资产投资与铺底流动资金之和，具体核定时以经批准的动态概算为依据</t>
    </r>
    <phoneticPr fontId="61" type="noConversion"/>
  </si>
  <si>
    <r>
      <rPr>
        <sz val="11"/>
        <rFont val="宋体"/>
        <charset val="134"/>
      </rPr>
      <t>长期借款利率</t>
    </r>
  </si>
  <si>
    <r>
      <rPr>
        <sz val="11"/>
        <rFont val="宋体"/>
        <charset val="134"/>
      </rPr>
      <t>长期借款年限（不含建设期）</t>
    </r>
    <phoneticPr fontId="61" type="noConversion"/>
  </si>
  <si>
    <r>
      <rPr>
        <sz val="11"/>
        <rFont val="宋体"/>
        <charset val="134"/>
      </rPr>
      <t>年</t>
    </r>
  </si>
  <si>
    <r>
      <rPr>
        <sz val="11"/>
        <rFont val="宋体"/>
        <charset val="134"/>
      </rPr>
      <t>流动资金贷款利率</t>
    </r>
  </si>
  <si>
    <r>
      <rPr>
        <sz val="11"/>
        <rFont val="宋体"/>
        <charset val="134"/>
      </rPr>
      <t>短期贷款利息</t>
    </r>
  </si>
  <si>
    <r>
      <rPr>
        <sz val="11"/>
        <rFont val="宋体"/>
        <charset val="134"/>
      </rPr>
      <t>建设周期</t>
    </r>
    <phoneticPr fontId="61" type="noConversion"/>
  </si>
  <si>
    <r>
      <rPr>
        <sz val="11"/>
        <rFont val="宋体"/>
        <charset val="134"/>
      </rPr>
      <t>月</t>
    </r>
    <phoneticPr fontId="61" type="noConversion"/>
  </si>
  <si>
    <r>
      <rPr>
        <sz val="11"/>
        <rFont val="宋体"/>
        <charset val="134"/>
      </rPr>
      <t>增值税率</t>
    </r>
  </si>
  <si>
    <r>
      <rPr>
        <sz val="11"/>
        <rFont val="宋体"/>
        <charset val="134"/>
      </rPr>
      <t>目前风电项目增值税税率为</t>
    </r>
    <r>
      <rPr>
        <sz val="11"/>
        <rFont val="Times New Roman"/>
        <family val="1"/>
      </rPr>
      <t>13%</t>
    </r>
    <r>
      <rPr>
        <sz val="11"/>
        <rFont val="宋体"/>
        <charset val="134"/>
      </rPr>
      <t>，若有其他优惠政策可更改该税率。参见《风电、光伏发电项目涉税事项》</t>
    </r>
    <phoneticPr fontId="61" type="noConversion"/>
  </si>
  <si>
    <r>
      <rPr>
        <sz val="11"/>
        <rFont val="宋体"/>
        <charset val="134"/>
      </rPr>
      <t>增值税优惠享受年限</t>
    </r>
    <phoneticPr fontId="61" type="noConversion"/>
  </si>
  <si>
    <r>
      <rPr>
        <sz val="11"/>
        <rFont val="宋体"/>
        <charset val="134"/>
      </rPr>
      <t>年</t>
    </r>
    <phoneticPr fontId="61" type="noConversion"/>
  </si>
  <si>
    <r>
      <rPr>
        <sz val="11"/>
        <rFont val="宋体"/>
        <charset val="134"/>
      </rPr>
      <t>即征即退享受年限，目前风电项目享受该政策</t>
    </r>
    <phoneticPr fontId="61" type="noConversion"/>
  </si>
  <si>
    <r>
      <rPr>
        <sz val="11"/>
        <rFont val="宋体"/>
        <charset val="134"/>
      </rPr>
      <t>城市建设维护税率</t>
    </r>
  </si>
  <si>
    <r>
      <rPr>
        <sz val="11"/>
        <rFont val="宋体"/>
        <charset val="134"/>
      </rPr>
      <t>参见《风电、光伏发电项目涉税事项》</t>
    </r>
    <phoneticPr fontId="61" type="noConversion"/>
  </si>
  <si>
    <r>
      <rPr>
        <sz val="11"/>
        <rFont val="宋体"/>
        <charset val="134"/>
      </rPr>
      <t>教育费附加费率</t>
    </r>
  </si>
  <si>
    <r>
      <rPr>
        <sz val="11"/>
        <rFont val="宋体"/>
        <charset val="134"/>
      </rPr>
      <t>参见《风电、光伏发电项目涉税事项》</t>
    </r>
    <phoneticPr fontId="61" type="noConversion"/>
  </si>
  <si>
    <r>
      <rPr>
        <sz val="11"/>
        <rFont val="宋体"/>
        <charset val="134"/>
      </rPr>
      <t>所得税税率</t>
    </r>
    <phoneticPr fontId="61" type="noConversion"/>
  </si>
  <si>
    <r>
      <rPr>
        <sz val="11"/>
        <rFont val="宋体"/>
        <charset val="134"/>
      </rPr>
      <t>目前风电项目享受所得税三免三减半优惠政策，若为西部省份，可查询有关省份风电项目是否享受所得税</t>
    </r>
    <r>
      <rPr>
        <sz val="11"/>
        <rFont val="Times New Roman"/>
        <family val="1"/>
      </rPr>
      <t>15%</t>
    </r>
    <r>
      <rPr>
        <sz val="11"/>
        <rFont val="宋体"/>
        <charset val="134"/>
      </rPr>
      <t>优惠政策</t>
    </r>
    <phoneticPr fontId="61" type="noConversion"/>
  </si>
  <si>
    <r>
      <rPr>
        <sz val="11"/>
        <rFont val="宋体"/>
        <charset val="134"/>
      </rPr>
      <t>法定盈余公积金比率</t>
    </r>
  </si>
  <si>
    <r>
      <rPr>
        <sz val="11"/>
        <rFont val="宋体"/>
        <charset val="134"/>
      </rPr>
      <t>折旧年限</t>
    </r>
    <phoneticPr fontId="61" type="noConversion"/>
  </si>
  <si>
    <r>
      <rPr>
        <sz val="11"/>
        <rFont val="宋体"/>
        <charset val="134"/>
      </rPr>
      <t>可不调整。数据来源：预可行性研究报告或可行性研究报告</t>
    </r>
  </si>
  <si>
    <r>
      <rPr>
        <sz val="11"/>
        <rFont val="宋体"/>
        <charset val="134"/>
      </rPr>
      <t>残值率</t>
    </r>
  </si>
  <si>
    <r>
      <rPr>
        <sz val="11"/>
        <rFont val="宋体"/>
        <charset val="134"/>
      </rPr>
      <t>折旧率</t>
    </r>
  </si>
  <si>
    <r>
      <rPr>
        <sz val="11"/>
        <rFont val="宋体"/>
        <charset val="134"/>
      </rPr>
      <t>年运维费费率</t>
    </r>
    <phoneticPr fontId="61" type="noConversion"/>
  </si>
  <si>
    <r>
      <rPr>
        <sz val="11"/>
        <rFont val="宋体"/>
        <charset val="134"/>
      </rPr>
      <t>年修理费率</t>
    </r>
    <phoneticPr fontId="61" type="noConversion"/>
  </si>
  <si>
    <r>
      <rPr>
        <sz val="11"/>
        <rFont val="宋体"/>
        <charset val="134"/>
      </rPr>
      <t>员工人数</t>
    </r>
  </si>
  <si>
    <r>
      <rPr>
        <sz val="11"/>
        <rFont val="宋体"/>
        <charset val="134"/>
      </rPr>
      <t>年均工资</t>
    </r>
  </si>
  <si>
    <r>
      <rPr>
        <sz val="11"/>
        <rFont val="宋体"/>
        <charset val="134"/>
      </rPr>
      <t>福利费率</t>
    </r>
    <phoneticPr fontId="61" type="noConversion"/>
  </si>
  <si>
    <r>
      <rPr>
        <sz val="11"/>
        <rFont val="宋体"/>
        <charset val="134"/>
      </rPr>
      <t>年其他费用费率</t>
    </r>
    <phoneticPr fontId="61" type="noConversion"/>
  </si>
  <si>
    <r>
      <rPr>
        <sz val="11"/>
        <rFont val="宋体"/>
        <charset val="134"/>
      </rPr>
      <t>年材料费费率</t>
    </r>
    <phoneticPr fontId="61" type="noConversion"/>
  </si>
  <si>
    <r>
      <rPr>
        <sz val="11"/>
        <rFont val="宋体"/>
        <charset val="134"/>
      </rPr>
      <t>年保险费费率</t>
    </r>
    <phoneticPr fontId="61" type="noConversion"/>
  </si>
  <si>
    <r>
      <rPr>
        <sz val="11"/>
        <rFont val="宋体"/>
        <charset val="134"/>
      </rPr>
      <t>首年土地租金</t>
    </r>
    <phoneticPr fontId="61" type="noConversion"/>
  </si>
  <si>
    <r>
      <rPr>
        <sz val="11"/>
        <rFont val="宋体"/>
        <charset val="134"/>
      </rPr>
      <t>单位占地面积</t>
    </r>
    <phoneticPr fontId="61" type="noConversion"/>
  </si>
  <si>
    <r>
      <rPr>
        <sz val="11"/>
        <rFont val="宋体"/>
        <charset val="134"/>
      </rPr>
      <t>占地面积</t>
    </r>
    <phoneticPr fontId="61" type="noConversion"/>
  </si>
  <si>
    <r>
      <rPr>
        <sz val="11"/>
        <rFont val="宋体"/>
        <charset val="134"/>
      </rPr>
      <t>亩</t>
    </r>
    <phoneticPr fontId="61" type="noConversion"/>
  </si>
  <si>
    <r>
      <rPr>
        <sz val="11"/>
        <rFont val="宋体"/>
        <charset val="134"/>
      </rPr>
      <t>首年每亩土地租金</t>
    </r>
    <phoneticPr fontId="61" type="noConversion"/>
  </si>
  <si>
    <r>
      <rPr>
        <sz val="11"/>
        <rFont val="宋体"/>
        <charset val="134"/>
      </rPr>
      <t>元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亩</t>
    </r>
    <phoneticPr fontId="61" type="noConversion"/>
  </si>
  <si>
    <r>
      <rPr>
        <sz val="11"/>
        <rFont val="宋体"/>
        <charset val="134"/>
      </rPr>
      <t>土地租金上浮率</t>
    </r>
    <phoneticPr fontId="61" type="noConversion"/>
  </si>
  <si>
    <r>
      <rPr>
        <sz val="11"/>
        <rFont val="宋体"/>
        <charset val="134"/>
      </rPr>
      <t>土地租金支付频率</t>
    </r>
    <phoneticPr fontId="61" type="noConversion"/>
  </si>
  <si>
    <r>
      <rPr>
        <sz val="11"/>
        <rFont val="宋体"/>
        <charset val="134"/>
      </rPr>
      <t>年</t>
    </r>
    <r>
      <rPr>
        <sz val="11"/>
        <rFont val="Times New Roman"/>
        <family val="1"/>
      </rPr>
      <t>/</t>
    </r>
    <r>
      <rPr>
        <sz val="11"/>
        <rFont val="宋体"/>
        <charset val="134"/>
      </rPr>
      <t>次</t>
    </r>
    <phoneticPr fontId="61" type="noConversion"/>
  </si>
  <si>
    <r>
      <rPr>
        <sz val="11"/>
        <rFont val="宋体"/>
        <charset val="134"/>
      </rPr>
      <t>土地租金支付（万元）</t>
    </r>
    <phoneticPr fontId="61" type="noConversion"/>
  </si>
  <si>
    <r>
      <rPr>
        <sz val="11"/>
        <rFont val="宋体"/>
        <charset val="134"/>
      </rPr>
      <t>土地租金年摊销（租金，万元）</t>
    </r>
    <phoneticPr fontId="61" type="noConversion"/>
  </si>
  <si>
    <r>
      <rPr>
        <sz val="11"/>
        <rFont val="宋体"/>
        <charset val="134"/>
      </rPr>
      <t>年度分红比例</t>
    </r>
    <phoneticPr fontId="61" type="noConversion"/>
  </si>
  <si>
    <r>
      <rPr>
        <sz val="11"/>
        <rFont val="宋体"/>
        <charset val="134"/>
      </rPr>
      <t>参考值，计算投资方内部收益率时适用该参数</t>
    </r>
    <phoneticPr fontId="61" type="noConversion"/>
  </si>
  <si>
    <r>
      <rPr>
        <sz val="11"/>
        <rFont val="宋体"/>
        <charset val="134"/>
      </rPr>
      <t>购买方基准收益率（资本金）</t>
    </r>
    <phoneticPr fontId="61" type="noConversion"/>
  </si>
  <si>
    <r>
      <rPr>
        <sz val="11"/>
        <rFont val="宋体"/>
        <charset val="134"/>
      </rPr>
      <t>参考值，购买方对项目的预期资本金财务内部收益率</t>
    </r>
    <phoneticPr fontId="61" type="noConversion"/>
  </si>
  <si>
    <r>
      <rPr>
        <sz val="11"/>
        <rFont val="宋体"/>
        <charset val="134"/>
      </rPr>
      <t>股权出售所得税税率</t>
    </r>
    <phoneticPr fontId="61" type="noConversion"/>
  </si>
  <si>
    <r>
      <rPr>
        <sz val="11"/>
        <rFont val="宋体"/>
        <charset val="134"/>
      </rPr>
      <t>参考值，项目公司股东的所得税税率</t>
    </r>
    <phoneticPr fontId="61" type="noConversion"/>
  </si>
  <si>
    <r>
      <t>EPC</t>
    </r>
    <r>
      <rPr>
        <sz val="11"/>
        <rFont val="宋体"/>
        <charset val="134"/>
      </rPr>
      <t>签约价</t>
    </r>
    <phoneticPr fontId="61" type="noConversion"/>
  </si>
  <si>
    <r>
      <rPr>
        <sz val="11"/>
        <rFont val="宋体"/>
        <charset val="134"/>
      </rPr>
      <t>参考值，含增值税</t>
    </r>
    <phoneticPr fontId="61" type="noConversion"/>
  </si>
  <si>
    <r>
      <t>EPC</t>
    </r>
    <r>
      <rPr>
        <sz val="11"/>
        <rFont val="宋体"/>
        <charset val="134"/>
      </rPr>
      <t>成本价</t>
    </r>
    <phoneticPr fontId="61" type="noConversion"/>
  </si>
  <si>
    <r>
      <rPr>
        <sz val="11"/>
        <rFont val="宋体"/>
        <charset val="134"/>
      </rPr>
      <t>参考值，含勘察设计费、项目管理费及增值税等</t>
    </r>
    <phoneticPr fontId="61" type="noConversion"/>
  </si>
  <si>
    <r>
      <rPr>
        <sz val="11"/>
        <rFont val="宋体"/>
        <charset val="134"/>
      </rPr>
      <t>管理费分摊比率</t>
    </r>
    <phoneticPr fontId="61" type="noConversion"/>
  </si>
  <si>
    <r>
      <rPr>
        <sz val="11"/>
        <rFont val="宋体"/>
        <charset val="134"/>
      </rPr>
      <t>参考值，根据各单位管理费分摊比率确定（可参考上一年度财务报表）</t>
    </r>
    <phoneticPr fontId="61" type="noConversion"/>
  </si>
  <si>
    <r>
      <rPr>
        <sz val="11"/>
        <color indexed="60"/>
        <rFont val="宋体"/>
        <charset val="134"/>
      </rPr>
      <t>使用说明：填写本表中底色为绿色的单元格，主要指标计算结果见指标汇总表</t>
    </r>
    <phoneticPr fontId="61" type="noConversion"/>
  </si>
  <si>
    <t>参考值，自动计算</t>
  </si>
  <si>
    <t>参考值，自动计算，假定建安工程费、设备购置费、勘察设计费可足额开具增值税发票</t>
  </si>
  <si>
    <t>参考值</t>
  </si>
  <si>
    <t>参考值，数据来源：预可行性研究报告或可行性研究报告；初步测算时，可根据各单位风机选型软件取值</t>
    <phoneticPr fontId="61" type="noConversion"/>
  </si>
  <si>
    <r>
      <rPr>
        <sz val="11"/>
        <rFont val="宋体"/>
        <charset val="134"/>
      </rPr>
      <t>参考值，竞价项目为度电补贴强度（含增值税），平价项目为</t>
    </r>
    <r>
      <rPr>
        <sz val="11"/>
        <rFont val="Times New Roman"/>
        <family val="1"/>
      </rPr>
      <t>0</t>
    </r>
    <phoneticPr fontId="61" type="noConversion"/>
  </si>
  <si>
    <r>
      <t>参考值，该电价为批准无补贴上网电价，为当地煤电标杆电价（现称基准电价），</t>
    </r>
    <r>
      <rPr>
        <b/>
        <sz val="11"/>
        <color indexed="60"/>
        <rFont val="宋体"/>
        <charset val="134"/>
      </rPr>
      <t>综合考虑市场化交易（若有）和“两个细则”考核成本</t>
    </r>
    <phoneticPr fontId="61" type="noConversion"/>
  </si>
  <si>
    <t>参考值，平价上网项目为当地煤电标杆电价（现称基准电价，含脱硫脱硝除尘电价，含增值税），竞价项目为含补贴电价（含增值税）</t>
    <phoneticPr fontId="61" type="noConversion"/>
  </si>
  <si>
    <t>参考值，数据来源：预可行性研究报告或可行性研究报告</t>
    <phoneticPr fontId="61" type="noConversion"/>
  </si>
  <si>
    <r>
      <rPr>
        <sz val="11"/>
        <rFont val="宋体"/>
        <charset val="134"/>
      </rPr>
      <t>参考值，含土地补偿费、土地征用费、安置补助费、</t>
    </r>
    <r>
      <rPr>
        <sz val="11"/>
        <color indexed="60"/>
        <rFont val="宋体"/>
        <charset val="134"/>
      </rPr>
      <t>耕地占用税、城镇土地使用税（若有）、</t>
    </r>
    <r>
      <rPr>
        <sz val="11"/>
        <rFont val="宋体"/>
        <charset val="134"/>
      </rPr>
      <t>耕地开垦费、勘测定界费、征地管理费、证书费、手续费，另有</t>
    </r>
    <r>
      <rPr>
        <sz val="11"/>
        <color indexed="60"/>
        <rFont val="宋体"/>
        <charset val="134"/>
      </rPr>
      <t>森林植被恢复费（若有）、草原植被恢复费（若有）</t>
    </r>
    <phoneticPr fontId="61" type="noConversion"/>
  </si>
  <si>
    <t>参考值，数据来源：预可行性研究报告或可行性研究报告</t>
    <phoneticPr fontId="61" type="noConversion"/>
  </si>
  <si>
    <t>参考值，数据来源：预可行性研究报告或可行性研究报告</t>
    <phoneticPr fontId="61" type="noConversion"/>
  </si>
  <si>
    <t>参考值，根据项目情况向银行初步询价</t>
    <phoneticPr fontId="61" type="noConversion"/>
  </si>
  <si>
    <t>西部大开发优惠税率享受年限</t>
    <phoneticPr fontId="61" type="noConversion"/>
  </si>
  <si>
    <t>否</t>
  </si>
  <si>
    <r>
      <rPr>
        <sz val="11"/>
        <rFont val="宋体"/>
        <charset val="134"/>
      </rPr>
      <t>根据《关于延续西部大开发企业所得税政策的公告》（财政部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税务总局</t>
    </r>
    <r>
      <rPr>
        <sz val="11"/>
        <rFont val="Times New Roman"/>
        <family val="1"/>
      </rPr>
      <t xml:space="preserve"> </t>
    </r>
    <r>
      <rPr>
        <sz val="11"/>
        <rFont val="宋体"/>
        <charset val="134"/>
      </rPr>
      <t>国家发展改革委公告</t>
    </r>
    <r>
      <rPr>
        <sz val="11"/>
        <rFont val="Times New Roman"/>
        <family val="1"/>
      </rPr>
      <t>2020</t>
    </r>
    <r>
      <rPr>
        <sz val="11"/>
        <rFont val="宋体"/>
        <charset val="134"/>
      </rPr>
      <t>年第</t>
    </r>
    <r>
      <rPr>
        <sz val="11"/>
        <rFont val="Times New Roman"/>
        <family val="1"/>
      </rPr>
      <t>23</t>
    </r>
    <r>
      <rPr>
        <sz val="11"/>
        <rFont val="宋体"/>
        <charset val="134"/>
      </rPr>
      <t>号）自</t>
    </r>
    <r>
      <rPr>
        <sz val="11"/>
        <rFont val="Times New Roman"/>
        <family val="1"/>
      </rPr>
      <t>2021</t>
    </r>
    <r>
      <rPr>
        <sz val="11"/>
        <rFont val="宋体"/>
        <charset val="134"/>
      </rPr>
      <t>年</t>
    </r>
    <r>
      <rPr>
        <sz val="11"/>
        <rFont val="Times New Roman"/>
        <family val="1"/>
      </rPr>
      <t>1</t>
    </r>
    <r>
      <rPr>
        <sz val="11"/>
        <rFont val="宋体"/>
        <charset val="134"/>
      </rPr>
      <t>月</t>
    </r>
    <r>
      <rPr>
        <sz val="11"/>
        <rFont val="Times New Roman"/>
        <family val="1"/>
      </rPr>
      <t>1</t>
    </r>
    <r>
      <rPr>
        <sz val="11"/>
        <rFont val="宋体"/>
        <charset val="134"/>
      </rPr>
      <t>日至</t>
    </r>
    <r>
      <rPr>
        <sz val="11"/>
        <rFont val="Times New Roman"/>
        <family val="1"/>
      </rPr>
      <t>2030</t>
    </r>
    <r>
      <rPr>
        <sz val="11"/>
        <rFont val="宋体"/>
        <charset val="134"/>
      </rPr>
      <t>年</t>
    </r>
    <r>
      <rPr>
        <sz val="11"/>
        <rFont val="Times New Roman"/>
        <family val="1"/>
      </rPr>
      <t>12</t>
    </r>
    <r>
      <rPr>
        <sz val="11"/>
        <rFont val="宋体"/>
        <charset val="134"/>
      </rPr>
      <t>月</t>
    </r>
    <r>
      <rPr>
        <sz val="11"/>
        <rFont val="Times New Roman"/>
        <family val="1"/>
      </rPr>
      <t>31</t>
    </r>
    <r>
      <rPr>
        <sz val="11"/>
        <rFont val="宋体"/>
        <charset val="134"/>
      </rPr>
      <t>日，对设在西部地区的鼓励类产业企业减按</t>
    </r>
    <r>
      <rPr>
        <sz val="11"/>
        <rFont val="Times New Roman"/>
        <family val="1"/>
      </rPr>
      <t>15%</t>
    </r>
    <r>
      <rPr>
        <sz val="11"/>
        <rFont val="宋体"/>
        <charset val="134"/>
      </rPr>
      <t>的税率征收企业所得税。根据《西部地区鼓励类产业目录（</t>
    </r>
    <r>
      <rPr>
        <sz val="11"/>
        <rFont val="Times New Roman"/>
        <family val="1"/>
      </rPr>
      <t>2014</t>
    </r>
    <r>
      <rPr>
        <sz val="11"/>
        <rFont val="宋体"/>
        <charset val="134"/>
      </rPr>
      <t>年修订版）》，甘肃省、青海省、宁夏回族自治区、新疆维吾尔自治区、内蒙古自治区鼓励产业目录含风力发电场建设及运营、太阳能发电系统建设及运营，可享受</t>
    </r>
    <r>
      <rPr>
        <sz val="11"/>
        <rFont val="Times New Roman"/>
        <family val="1"/>
      </rPr>
      <t>15%</t>
    </r>
    <r>
      <rPr>
        <sz val="11"/>
        <rFont val="宋体"/>
        <charset val="134"/>
      </rPr>
      <t>的所得税税率。参见《风电、光伏发电项目涉税事项》</t>
    </r>
    <phoneticPr fontId="61" type="noConversion"/>
  </si>
  <si>
    <t>西部大开发优惠所得税税率</t>
    <phoneticPr fontId="61" type="noConversion"/>
  </si>
  <si>
    <t>总投资收益率（ROI）</t>
    <phoneticPr fontId="6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</si>
</sst>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3" formatCode="_ * #,##0.00_ ;_ * \-#,##0.00_ ;_ * &quot;-&quot;??_ ;_ @_ "/>
    <numFmt numFmtId="179" formatCode="_-* #,##0.00_-;\-* #,##0.00_-;_-* &quot;-&quot;??_-;_-@_-"/>
    <numFmt numFmtId="180" formatCode="0.0%"/>
    <numFmt numFmtId="181" formatCode="0.0_);[Red]\(0.0\)"/>
    <numFmt numFmtId="182" formatCode="0.00_ "/>
    <numFmt numFmtId="183" formatCode="_ * #,##0_ ;_ * \-#,##0_ ;_ * &quot;-&quot;??_ ;_ @_ "/>
    <numFmt numFmtId="184" formatCode="0_ "/>
    <numFmt numFmtId="185" formatCode="0.0_ "/>
    <numFmt numFmtId="186" formatCode="0_);[Red]\(0\)"/>
    <numFmt numFmtId="188" formatCode="_-* #,##0.0_-;\-* #,##0.0_-;_-* &quot;-&quot;??_-;_-@_-"/>
    <numFmt numFmtId="189" formatCode="0.0"/>
    <numFmt numFmtId="190" formatCode="0.0000"/>
    <numFmt numFmtId="191" formatCode="0.000_);[Red]\(0.000\)"/>
    <numFmt numFmtId="192" formatCode="0.00_);[Red]\(0.00\)"/>
    <numFmt numFmtId="193" formatCode="#,##0_ "/>
    <numFmt numFmtId="194" formatCode="#,##0_ ;[Red]\-#,##0\ "/>
    <numFmt numFmtId="195" formatCode="_ * #,##0.0_ ;_ * \-#,##0.0_ ;_ * &quot;-&quot;??_ ;_ @_ "/>
    <numFmt numFmtId="196" formatCode="#,##0_);[Red]\(#,##0\)"/>
    <numFmt numFmtId="203" formatCode="#,##0.0_ "/>
    <numFmt numFmtId="204" formatCode="0.000_ "/>
  </numFmts>
  <fonts count="70" x14ac:knownFonts="1">
    <font>
      <sz val="12"/>
      <name val="宋体"/>
      <charset val="134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6"/>
      <color indexed="8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name val="宋体"/>
      <charset val="134"/>
    </font>
    <font>
      <sz val="11"/>
      <color indexed="8"/>
      <name val="Times New Roman"/>
      <family val="1"/>
    </font>
    <font>
      <sz val="10"/>
      <color indexed="8"/>
      <name val="Arial"/>
      <family val="2"/>
    </font>
    <font>
      <sz val="10"/>
      <color indexed="8"/>
      <name val="宋体"/>
      <charset val="134"/>
    </font>
    <font>
      <sz val="10"/>
      <color indexed="10"/>
      <name val="宋体"/>
      <charset val="134"/>
    </font>
    <font>
      <sz val="10"/>
      <color indexed="10"/>
      <name val="Arial"/>
      <family val="2"/>
    </font>
    <font>
      <sz val="9"/>
      <color indexed="8"/>
      <name val="Arial"/>
      <family val="2"/>
    </font>
    <font>
      <sz val="11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sz val="18"/>
      <name val="黑体"/>
      <family val="3"/>
      <charset val="134"/>
    </font>
    <font>
      <sz val="16"/>
      <name val="黑体"/>
      <family val="3"/>
      <charset val="134"/>
    </font>
    <font>
      <sz val="16"/>
      <name val="Times New Roman"/>
      <family val="1"/>
    </font>
    <font>
      <sz val="11"/>
      <name val="宋体"/>
      <charset val="134"/>
    </font>
    <font>
      <b/>
      <sz val="11"/>
      <name val="Times New Roman"/>
      <family val="1"/>
    </font>
    <font>
      <b/>
      <sz val="11"/>
      <name val="宋体"/>
      <charset val="134"/>
    </font>
    <font>
      <sz val="12"/>
      <name val="Times New Roman"/>
      <family val="1"/>
    </font>
    <font>
      <sz val="10.5"/>
      <name val="宋体"/>
      <charset val="134"/>
    </font>
    <font>
      <sz val="10.5"/>
      <color indexed="8"/>
      <name val="宋体"/>
      <charset val="134"/>
    </font>
    <font>
      <sz val="10.5"/>
      <name val="Times New Roman"/>
      <family val="1"/>
    </font>
    <font>
      <sz val="10.5"/>
      <color indexed="8"/>
      <name val="Times New Roman"/>
      <family val="1"/>
    </font>
    <font>
      <sz val="11"/>
      <color indexed="8"/>
      <name val="宋体"/>
      <charset val="134"/>
    </font>
    <font>
      <sz val="11"/>
      <color indexed="10"/>
      <name val="Times New Roman"/>
      <family val="1"/>
    </font>
    <font>
      <sz val="12"/>
      <color indexed="18"/>
      <name val="宋体"/>
      <charset val="134"/>
    </font>
    <font>
      <sz val="10"/>
      <color indexed="8"/>
      <name val="Times New Roman"/>
      <family val="1"/>
    </font>
    <font>
      <b/>
      <sz val="11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sz val="14"/>
      <name val="黑体"/>
      <family val="3"/>
      <charset val="134"/>
    </font>
    <font>
      <sz val="14"/>
      <name val="Arial"/>
      <family val="2"/>
    </font>
    <font>
      <b/>
      <sz val="12"/>
      <name val="黑体"/>
      <family val="3"/>
      <charset val="134"/>
    </font>
    <font>
      <b/>
      <sz val="12"/>
      <color indexed="8"/>
      <name val="Arial"/>
      <family val="2"/>
    </font>
    <font>
      <b/>
      <sz val="12"/>
      <color indexed="8"/>
      <name val="黑体"/>
      <family val="3"/>
      <charset val="134"/>
    </font>
    <font>
      <b/>
      <sz val="12"/>
      <name val="宋体"/>
      <charset val="134"/>
    </font>
    <font>
      <sz val="11"/>
      <color indexed="10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b/>
      <sz val="18"/>
      <color indexed="56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11"/>
      <color indexed="9"/>
      <name val="宋体"/>
      <charset val="134"/>
    </font>
    <font>
      <b/>
      <sz val="11"/>
      <color indexed="8"/>
      <name val="宋体"/>
      <charset val="134"/>
    </font>
    <font>
      <i/>
      <sz val="11"/>
      <color indexed="23"/>
      <name val="宋体"/>
      <charset val="134"/>
    </font>
    <font>
      <b/>
      <sz val="11"/>
      <color indexed="52"/>
      <name val="宋体"/>
      <charset val="134"/>
    </font>
    <font>
      <sz val="11"/>
      <color indexed="17"/>
      <name val="宋体"/>
      <charset val="134"/>
    </font>
    <font>
      <sz val="11"/>
      <color indexed="52"/>
      <name val="宋体"/>
      <charset val="134"/>
    </font>
    <font>
      <b/>
      <sz val="15"/>
      <color indexed="56"/>
      <name val="宋体"/>
      <charset val="134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b/>
      <sz val="16"/>
      <color indexed="8"/>
      <name val="宋体"/>
      <charset val="134"/>
    </font>
    <font>
      <sz val="12"/>
      <color indexed="8"/>
      <name val="宋体"/>
      <charset val="134"/>
    </font>
    <font>
      <sz val="9"/>
      <color indexed="8"/>
      <name val="宋体"/>
      <charset val="134"/>
    </font>
    <font>
      <b/>
      <sz val="10"/>
      <color indexed="8"/>
      <name val="宋体"/>
      <charset val="134"/>
    </font>
    <font>
      <b/>
      <sz val="10"/>
      <name val="宋体"/>
      <charset val="134"/>
    </font>
    <font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  <font>
      <sz val="11"/>
      <color indexed="63"/>
      <name val="宋体"/>
      <charset val="134"/>
    </font>
    <font>
      <sz val="10.5"/>
      <color indexed="8"/>
      <name val="宋体"/>
      <charset val="134"/>
    </font>
    <font>
      <sz val="10.5"/>
      <color indexed="8"/>
      <name val="宋体"/>
      <charset val="134"/>
    </font>
    <font>
      <sz val="11"/>
      <color indexed="60"/>
      <name val="Times New Roman"/>
      <family val="1"/>
    </font>
    <font>
      <b/>
      <sz val="11"/>
      <color indexed="60"/>
      <name val="宋体"/>
      <charset val="134"/>
    </font>
    <font>
      <sz val="11"/>
      <name val="宋体"/>
      <charset val="134"/>
    </font>
  </fonts>
  <fills count="15">
    <fill>
      <patternFill patternType="none"/>
    </fill>
    <fill>
      <patternFill patternType="gray125"/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2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>
      <alignment vertical="center"/>
    </xf>
    <xf numFmtId="9" fontId="62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53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54" fillId="2" borderId="0" applyNumberFormat="0" applyBorder="0" applyAlignment="0" applyProtection="0">
      <alignment vertical="center"/>
    </xf>
    <xf numFmtId="0" fontId="23" fillId="0" borderId="0" applyProtection="0"/>
    <xf numFmtId="0" fontId="51" fillId="3" borderId="0" applyNumberFormat="0" applyBorder="0" applyAlignment="0" applyProtection="0">
      <alignment vertical="center"/>
    </xf>
    <xf numFmtId="0" fontId="48" fillId="0" borderId="4" applyNumberFormat="0" applyFill="0" applyAlignment="0" applyProtection="0">
      <alignment vertical="center"/>
    </xf>
    <xf numFmtId="0" fontId="50" fillId="6" borderId="5" applyNumberFormat="0" applyAlignment="0" applyProtection="0">
      <alignment vertical="center"/>
    </xf>
    <xf numFmtId="0" fontId="47" fillId="7" borderId="6" applyNumberFormat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52" fillId="0" borderId="7" applyNumberFormat="0" applyFill="0" applyAlignment="0" applyProtection="0">
      <alignment vertical="center"/>
    </xf>
    <xf numFmtId="179" fontId="62" fillId="0" borderId="0" applyFont="0" applyFill="0" applyBorder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55" fillId="6" borderId="8" applyNumberFormat="0" applyAlignment="0" applyProtection="0">
      <alignment vertical="center"/>
    </xf>
    <xf numFmtId="0" fontId="46" fillId="4" borderId="5" applyNumberFormat="0" applyAlignment="0" applyProtection="0">
      <alignment vertical="center"/>
    </xf>
    <xf numFmtId="0" fontId="62" fillId="9" borderId="9" applyNumberFormat="0" applyFont="0" applyAlignment="0" applyProtection="0">
      <alignment vertical="center"/>
    </xf>
  </cellStyleXfs>
  <cellXfs count="53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left" vertical="center"/>
    </xf>
    <xf numFmtId="0" fontId="8" fillId="0" borderId="10" xfId="0" applyFont="1" applyBorder="1" applyAlignment="1">
      <alignment horizontal="center" vertical="center" wrapText="1"/>
    </xf>
    <xf numFmtId="0" fontId="6" fillId="10" borderId="11" xfId="0" applyFont="1" applyFill="1" applyBorder="1" applyAlignment="1">
      <alignment horizontal="left" vertical="center" wrapText="1"/>
    </xf>
    <xf numFmtId="0" fontId="6" fillId="10" borderId="10" xfId="0" applyFont="1" applyFill="1" applyBorder="1" applyAlignment="1">
      <alignment horizontal="left" vertical="center" wrapText="1"/>
    </xf>
    <xf numFmtId="182" fontId="6" fillId="10" borderId="10" xfId="0" applyNumberFormat="1" applyFont="1" applyFill="1" applyBorder="1" applyAlignment="1">
      <alignment horizontal="right" vertical="center" wrapText="1"/>
    </xf>
    <xf numFmtId="183" fontId="6" fillId="10" borderId="10" xfId="16" applyNumberFormat="1" applyFont="1" applyFill="1" applyBorder="1" applyAlignment="1">
      <alignment horizontal="right" vertical="center" wrapText="1"/>
    </xf>
    <xf numFmtId="0" fontId="9" fillId="10" borderId="11" xfId="0" applyFont="1" applyFill="1" applyBorder="1" applyAlignment="1">
      <alignment horizontal="left" vertical="center" wrapText="1"/>
    </xf>
    <xf numFmtId="0" fontId="9" fillId="10" borderId="10" xfId="0" applyFont="1" applyFill="1" applyBorder="1" applyAlignment="1">
      <alignment horizontal="left" vertical="center" wrapText="1" indent="1"/>
    </xf>
    <xf numFmtId="182" fontId="9" fillId="10" borderId="10" xfId="0" applyNumberFormat="1" applyFont="1" applyFill="1" applyBorder="1" applyAlignment="1">
      <alignment horizontal="right" vertical="center" wrapText="1"/>
    </xf>
    <xf numFmtId="183" fontId="9" fillId="10" borderId="10" xfId="16" applyNumberFormat="1" applyFont="1" applyFill="1" applyBorder="1" applyAlignment="1">
      <alignment horizontal="right" vertical="center" wrapText="1"/>
    </xf>
    <xf numFmtId="184" fontId="9" fillId="10" borderId="10" xfId="0" applyNumberFormat="1" applyFont="1" applyFill="1" applyBorder="1" applyAlignment="1">
      <alignment horizontal="right" vertical="center" wrapText="1"/>
    </xf>
    <xf numFmtId="0" fontId="10" fillId="10" borderId="10" xfId="0" applyFont="1" applyFill="1" applyBorder="1" applyAlignment="1">
      <alignment horizontal="left" vertical="center" wrapText="1" indent="1"/>
    </xf>
    <xf numFmtId="0" fontId="11" fillId="10" borderId="10" xfId="0" applyFont="1" applyFill="1" applyBorder="1" applyAlignment="1">
      <alignment horizontal="left" vertical="center" wrapText="1" indent="1"/>
    </xf>
    <xf numFmtId="0" fontId="6" fillId="10" borderId="12" xfId="0" applyFont="1" applyFill="1" applyBorder="1" applyAlignment="1">
      <alignment horizontal="left" vertical="center" wrapText="1"/>
    </xf>
    <xf numFmtId="0" fontId="6" fillId="10" borderId="13" xfId="0" applyFont="1" applyFill="1" applyBorder="1" applyAlignment="1">
      <alignment horizontal="left" vertical="center" wrapText="1"/>
    </xf>
    <xf numFmtId="182" fontId="6" fillId="10" borderId="13" xfId="0" applyNumberFormat="1" applyFont="1" applyFill="1" applyBorder="1" applyAlignment="1">
      <alignment horizontal="right" vertical="center" wrapText="1"/>
    </xf>
    <xf numFmtId="183" fontId="6" fillId="10" borderId="13" xfId="16" applyNumberFormat="1" applyFont="1" applyFill="1" applyBorder="1" applyAlignment="1">
      <alignment horizontal="right" vertical="center" wrapText="1"/>
    </xf>
    <xf numFmtId="0" fontId="0" fillId="0" borderId="0" xfId="0" applyFont="1" applyAlignment="1">
      <alignment vertical="center"/>
    </xf>
    <xf numFmtId="185" fontId="3" fillId="0" borderId="0" xfId="0" applyNumberFormat="1" applyFont="1" applyAlignment="1">
      <alignment vertical="center"/>
    </xf>
    <xf numFmtId="183" fontId="12" fillId="10" borderId="10" xfId="16" applyNumberFormat="1" applyFont="1" applyFill="1" applyBorder="1" applyAlignment="1">
      <alignment horizontal="right" vertical="center" wrapText="1"/>
    </xf>
    <xf numFmtId="0" fontId="13" fillId="0" borderId="0" xfId="0" applyFont="1" applyAlignment="1">
      <alignment horizontal="right" vertical="center"/>
    </xf>
    <xf numFmtId="0" fontId="3" fillId="0" borderId="10" xfId="0" applyFont="1" applyBorder="1" applyAlignment="1">
      <alignment vertical="center"/>
    </xf>
    <xf numFmtId="2" fontId="3" fillId="0" borderId="0" xfId="0" applyNumberFormat="1" applyFont="1" applyAlignment="1">
      <alignment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5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183" fontId="9" fillId="10" borderId="15" xfId="16" applyNumberFormat="1" applyFont="1" applyFill="1" applyBorder="1" applyAlignment="1">
      <alignment horizontal="right" vertical="center" wrapText="1"/>
    </xf>
    <xf numFmtId="183" fontId="6" fillId="10" borderId="15" xfId="16" applyNumberFormat="1" applyFont="1" applyFill="1" applyBorder="1" applyAlignment="1">
      <alignment horizontal="right" vertical="center" wrapText="1"/>
    </xf>
    <xf numFmtId="183" fontId="3" fillId="0" borderId="16" xfId="0" applyNumberFormat="1" applyFont="1" applyBorder="1" applyAlignme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left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7" xfId="0" applyFont="1" applyBorder="1" applyAlignment="1">
      <alignment vertical="center"/>
    </xf>
    <xf numFmtId="0" fontId="14" fillId="0" borderId="11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2" fillId="0" borderId="10" xfId="0" applyFont="1" applyBorder="1" applyAlignment="1">
      <alignment horizontal="left" wrapText="1"/>
    </xf>
    <xf numFmtId="0" fontId="20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justify" wrapText="1"/>
    </xf>
    <xf numFmtId="186" fontId="14" fillId="0" borderId="10" xfId="0" applyNumberFormat="1" applyFont="1" applyBorder="1" applyAlignment="1">
      <alignment horizontal="center" wrapText="1"/>
    </xf>
    <xf numFmtId="186" fontId="14" fillId="0" borderId="10" xfId="0" applyNumberFormat="1" applyFont="1" applyBorder="1" applyAlignment="1">
      <alignment horizontal="right" wrapText="1"/>
    </xf>
    <xf numFmtId="186" fontId="22" fillId="0" borderId="10" xfId="0" applyNumberFormat="1" applyFont="1" applyBorder="1" applyAlignment="1">
      <alignment horizontal="center" vertical="center" wrapText="1"/>
    </xf>
    <xf numFmtId="0" fontId="22" fillId="0" borderId="10" xfId="0" applyFont="1" applyBorder="1" applyAlignment="1">
      <alignment horizontal="justify" wrapText="1"/>
    </xf>
    <xf numFmtId="0" fontId="0" fillId="0" borderId="10" xfId="0" applyBorder="1">
      <alignment vertical="center"/>
    </xf>
    <xf numFmtId="184" fontId="16" fillId="0" borderId="10" xfId="0" applyNumberFormat="1" applyFont="1" applyBorder="1">
      <alignment vertical="center"/>
    </xf>
    <xf numFmtId="0" fontId="22" fillId="0" borderId="10" xfId="0" applyFont="1" applyBorder="1" applyAlignment="1">
      <alignment horizontal="left" vertical="center"/>
    </xf>
    <xf numFmtId="2" fontId="16" fillId="0" borderId="10" xfId="0" applyNumberFormat="1" applyFont="1" applyBorder="1">
      <alignment vertical="center"/>
    </xf>
    <xf numFmtId="0" fontId="23" fillId="0" borderId="10" xfId="0" applyFont="1" applyBorder="1">
      <alignment vertical="center"/>
    </xf>
    <xf numFmtId="0" fontId="7" fillId="0" borderId="11" xfId="0" applyFont="1" applyBorder="1" applyAlignment="1">
      <alignment horizontal="left" vertical="center"/>
    </xf>
    <xf numFmtId="0" fontId="20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left" vertical="center"/>
    </xf>
    <xf numFmtId="186" fontId="14" fillId="0" borderId="13" xfId="0" applyNumberFormat="1" applyFont="1" applyBorder="1" applyAlignment="1">
      <alignment horizontal="right" wrapText="1"/>
    </xf>
    <xf numFmtId="0" fontId="14" fillId="0" borderId="10" xfId="0" applyFont="1" applyBorder="1">
      <alignment vertical="center"/>
    </xf>
    <xf numFmtId="0" fontId="16" fillId="0" borderId="15" xfId="0" applyFont="1" applyBorder="1">
      <alignment vertical="center"/>
    </xf>
    <xf numFmtId="0" fontId="15" fillId="0" borderId="15" xfId="0" applyFont="1" applyBorder="1">
      <alignment vertical="center"/>
    </xf>
    <xf numFmtId="182" fontId="16" fillId="0" borderId="15" xfId="0" applyNumberFormat="1" applyFont="1" applyBorder="1">
      <alignment vertical="center"/>
    </xf>
    <xf numFmtId="0" fontId="16" fillId="0" borderId="16" xfId="0" applyFont="1" applyBorder="1">
      <alignment vertical="center"/>
    </xf>
    <xf numFmtId="0" fontId="20" fillId="0" borderId="19" xfId="0" applyFont="1" applyBorder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28" fillId="0" borderId="10" xfId="0" applyFont="1" applyBorder="1" applyAlignment="1">
      <alignment horizontal="left" vertical="top" wrapText="1"/>
    </xf>
    <xf numFmtId="0" fontId="8" fillId="0" borderId="10" xfId="0" applyFont="1" applyBorder="1" applyAlignment="1">
      <alignment horizontal="justify" vertical="top" wrapText="1"/>
    </xf>
    <xf numFmtId="0" fontId="28" fillId="0" borderId="0" xfId="0" applyFont="1" applyBorder="1" applyAlignment="1">
      <alignment horizontal="left" vertical="top" wrapText="1"/>
    </xf>
    <xf numFmtId="186" fontId="14" fillId="0" borderId="0" xfId="0" applyNumberFormat="1" applyFont="1">
      <alignment vertical="center"/>
    </xf>
    <xf numFmtId="0" fontId="14" fillId="0" borderId="20" xfId="0" applyFont="1" applyBorder="1" applyAlignment="1">
      <alignment horizontal="center" vertical="center"/>
    </xf>
    <xf numFmtId="186" fontId="14" fillId="0" borderId="21" xfId="0" applyNumberFormat="1" applyFont="1" applyBorder="1" applyAlignment="1">
      <alignment horizontal="right" wrapText="1"/>
    </xf>
    <xf numFmtId="0" fontId="14" fillId="0" borderId="12" xfId="0" applyFont="1" applyBorder="1" applyAlignment="1">
      <alignment horizontal="center" vertical="center"/>
    </xf>
    <xf numFmtId="186" fontId="30" fillId="0" borderId="13" xfId="16" applyNumberFormat="1" applyFont="1" applyFill="1" applyBorder="1" applyAlignment="1">
      <alignment vertical="center"/>
    </xf>
    <xf numFmtId="0" fontId="14" fillId="0" borderId="22" xfId="0" applyFont="1" applyBorder="1">
      <alignment vertical="center"/>
    </xf>
    <xf numFmtId="0" fontId="20" fillId="0" borderId="22" xfId="0" applyFont="1" applyBorder="1" applyAlignment="1">
      <alignment horizontal="right" vertical="top" wrapText="1"/>
    </xf>
    <xf numFmtId="0" fontId="28" fillId="0" borderId="0" xfId="0" applyFont="1" applyBorder="1" applyAlignment="1">
      <alignment horizontal="right" vertical="top" wrapText="1"/>
    </xf>
    <xf numFmtId="0" fontId="28" fillId="0" borderId="0" xfId="0" applyFont="1" applyBorder="1" applyAlignment="1">
      <alignment horizontal="left" vertical="top"/>
    </xf>
    <xf numFmtId="0" fontId="28" fillId="0" borderId="0" xfId="0" applyFont="1" applyBorder="1" applyAlignment="1">
      <alignment horizontal="right" vertical="top"/>
    </xf>
    <xf numFmtId="0" fontId="8" fillId="0" borderId="0" xfId="0" applyFont="1" applyBorder="1" applyAlignment="1">
      <alignment horizontal="right" vertical="top" wrapText="1"/>
    </xf>
    <xf numFmtId="10" fontId="8" fillId="0" borderId="0" xfId="1" applyNumberFormat="1" applyFont="1" applyBorder="1" applyAlignment="1">
      <alignment horizontal="left" vertical="top" wrapText="1"/>
    </xf>
    <xf numFmtId="0" fontId="14" fillId="0" borderId="11" xfId="0" applyFont="1" applyBorder="1">
      <alignment vertical="center"/>
    </xf>
    <xf numFmtId="0" fontId="14" fillId="0" borderId="0" xfId="0" applyFont="1" applyBorder="1">
      <alignment vertical="center"/>
    </xf>
    <xf numFmtId="0" fontId="2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right" vertical="center"/>
    </xf>
    <xf numFmtId="0" fontId="14" fillId="0" borderId="0" xfId="0" applyFont="1" applyBorder="1" applyAlignment="1">
      <alignment horizontal="left" vertical="center"/>
    </xf>
    <xf numFmtId="1" fontId="8" fillId="0" borderId="10" xfId="0" applyNumberFormat="1" applyFont="1" applyBorder="1" applyAlignment="1">
      <alignment horizontal="center" vertical="center" wrapText="1"/>
    </xf>
    <xf numFmtId="186" fontId="26" fillId="10" borderId="11" xfId="0" applyNumberFormat="1" applyFont="1" applyFill="1" applyBorder="1" applyAlignment="1">
      <alignment horizontal="center" vertical="center" wrapText="1"/>
    </xf>
    <xf numFmtId="186" fontId="24" fillId="10" borderId="10" xfId="0" applyNumberFormat="1" applyFont="1" applyFill="1" applyBorder="1" applyAlignment="1">
      <alignment horizontal="center" vertical="center" wrapText="1"/>
    </xf>
    <xf numFmtId="1" fontId="14" fillId="0" borderId="10" xfId="0" applyNumberFormat="1" applyFont="1" applyBorder="1" applyAlignment="1">
      <alignment horizontal="right" wrapText="1"/>
    </xf>
    <xf numFmtId="186" fontId="30" fillId="0" borderId="10" xfId="16" applyNumberFormat="1" applyFont="1" applyFill="1" applyBorder="1" applyAlignment="1">
      <alignment vertical="center"/>
    </xf>
    <xf numFmtId="0" fontId="28" fillId="0" borderId="22" xfId="0" applyFont="1" applyBorder="1" applyAlignment="1">
      <alignment horizontal="center" vertical="top" wrapText="1"/>
    </xf>
    <xf numFmtId="0" fontId="20" fillId="0" borderId="22" xfId="0" applyFont="1" applyBorder="1" applyAlignment="1">
      <alignment horizontal="center" vertical="top" wrapText="1"/>
    </xf>
    <xf numFmtId="182" fontId="8" fillId="0" borderId="0" xfId="1" applyNumberFormat="1" applyFont="1" applyBorder="1" applyAlignment="1">
      <alignment horizontal="right" vertical="top" wrapText="1"/>
    </xf>
    <xf numFmtId="182" fontId="20" fillId="0" borderId="0" xfId="0" applyNumberFormat="1" applyFont="1" applyBorder="1" applyAlignment="1">
      <alignment horizontal="right" vertical="top" wrapText="1"/>
    </xf>
    <xf numFmtId="0" fontId="20" fillId="0" borderId="0" xfId="0" applyFont="1" applyBorder="1" applyAlignment="1">
      <alignment horizontal="right" vertical="top" wrapText="1"/>
    </xf>
    <xf numFmtId="184" fontId="14" fillId="0" borderId="0" xfId="0" applyNumberFormat="1" applyFont="1" applyBorder="1" applyAlignment="1">
      <alignment horizontal="right" wrapText="1"/>
    </xf>
    <xf numFmtId="0" fontId="8" fillId="0" borderId="0" xfId="0" applyFont="1" applyBorder="1" applyAlignment="1">
      <alignment horizontal="justify" vertical="top" wrapText="1"/>
    </xf>
    <xf numFmtId="188" fontId="30" fillId="0" borderId="0" xfId="16" applyNumberFormat="1" applyFont="1" applyFill="1" applyBorder="1" applyAlignment="1">
      <alignment vertical="center"/>
    </xf>
    <xf numFmtId="185" fontId="14" fillId="0" borderId="0" xfId="0" applyNumberFormat="1" applyFont="1" applyBorder="1" applyAlignment="1">
      <alignment horizontal="right" wrapText="1"/>
    </xf>
    <xf numFmtId="10" fontId="8" fillId="0" borderId="0" xfId="1" applyNumberFormat="1" applyFont="1" applyBorder="1" applyAlignment="1">
      <alignment horizontal="left" vertical="center"/>
    </xf>
    <xf numFmtId="1" fontId="14" fillId="0" borderId="0" xfId="0" applyNumberFormat="1" applyFont="1" applyBorder="1" applyAlignment="1">
      <alignment horizontal="right" wrapText="1"/>
    </xf>
    <xf numFmtId="0" fontId="20" fillId="0" borderId="0" xfId="0" applyFont="1" applyBorder="1" applyAlignment="1">
      <alignment horizontal="center" vertical="top" wrapText="1"/>
    </xf>
    <xf numFmtId="186" fontId="14" fillId="0" borderId="15" xfId="0" applyNumberFormat="1" applyFont="1" applyBorder="1" applyAlignment="1">
      <alignment horizontal="right" wrapText="1"/>
    </xf>
    <xf numFmtId="186" fontId="14" fillId="0" borderId="15" xfId="0" applyNumberFormat="1" applyFont="1" applyBorder="1" applyAlignment="1">
      <alignment horizontal="justify" wrapText="1"/>
    </xf>
    <xf numFmtId="186" fontId="14" fillId="0" borderId="23" xfId="0" applyNumberFormat="1" applyFont="1" applyBorder="1" applyAlignment="1">
      <alignment horizontal="justify" wrapText="1"/>
    </xf>
    <xf numFmtId="0" fontId="14" fillId="0" borderId="15" xfId="0" applyFont="1" applyBorder="1" applyAlignment="1">
      <alignment horizontal="justify" wrapText="1"/>
    </xf>
    <xf numFmtId="181" fontId="31" fillId="10" borderId="11" xfId="0" applyNumberFormat="1" applyFont="1" applyFill="1" applyBorder="1" applyAlignment="1">
      <alignment horizontal="center" vertical="center" wrapText="1"/>
    </xf>
    <xf numFmtId="186" fontId="10" fillId="10" borderId="10" xfId="0" applyNumberFormat="1" applyFont="1" applyFill="1" applyBorder="1" applyAlignment="1">
      <alignment horizontal="center" vertical="center" wrapText="1"/>
    </xf>
    <xf numFmtId="184" fontId="14" fillId="0" borderId="10" xfId="0" applyNumberFormat="1" applyFont="1" applyBorder="1">
      <alignment vertical="center"/>
    </xf>
    <xf numFmtId="181" fontId="10" fillId="10" borderId="11" xfId="0" applyNumberFormat="1" applyFont="1" applyFill="1" applyBorder="1" applyAlignment="1">
      <alignment horizontal="center" vertical="center" wrapText="1"/>
    </xf>
    <xf numFmtId="186" fontId="10" fillId="10" borderId="11" xfId="0" applyNumberFormat="1" applyFont="1" applyFill="1" applyBorder="1" applyAlignment="1">
      <alignment horizontal="center" vertical="center" wrapText="1"/>
    </xf>
    <xf numFmtId="1" fontId="14" fillId="0" borderId="10" xfId="0" applyNumberFormat="1" applyFont="1" applyBorder="1">
      <alignment vertical="center"/>
    </xf>
    <xf numFmtId="186" fontId="14" fillId="0" borderId="10" xfId="0" applyNumberFormat="1" applyFont="1" applyBorder="1">
      <alignment vertical="center"/>
    </xf>
    <xf numFmtId="186" fontId="26" fillId="10" borderId="12" xfId="0" applyNumberFormat="1" applyFont="1" applyFill="1" applyBorder="1" applyAlignment="1">
      <alignment horizontal="center" vertical="center" wrapText="1"/>
    </xf>
    <xf numFmtId="186" fontId="10" fillId="10" borderId="13" xfId="0" applyNumberFormat="1" applyFont="1" applyFill="1" applyBorder="1" applyAlignment="1">
      <alignment horizontal="center" vertical="center" wrapText="1"/>
    </xf>
    <xf numFmtId="186" fontId="14" fillId="0" borderId="13" xfId="0" applyNumberFormat="1" applyFont="1" applyBorder="1">
      <alignment vertical="center"/>
    </xf>
    <xf numFmtId="0" fontId="14" fillId="0" borderId="15" xfId="0" applyFont="1" applyBorder="1">
      <alignment vertical="center"/>
    </xf>
    <xf numFmtId="0" fontId="14" fillId="0" borderId="16" xfId="0" applyFont="1" applyBorder="1">
      <alignment vertical="center"/>
    </xf>
    <xf numFmtId="0" fontId="14" fillId="0" borderId="0" xfId="0" applyFont="1" applyAlignment="1">
      <alignment horizontal="right" vertical="center"/>
    </xf>
    <xf numFmtId="0" fontId="20" fillId="0" borderId="0" xfId="0" applyFont="1" applyAlignment="1">
      <alignment horizontal="right" vertical="center"/>
    </xf>
    <xf numFmtId="0" fontId="20" fillId="0" borderId="0" xfId="0" applyFont="1">
      <alignment vertical="center"/>
    </xf>
    <xf numFmtId="2" fontId="14" fillId="0" borderId="10" xfId="0" applyNumberFormat="1" applyFont="1" applyBorder="1" applyAlignment="1">
      <alignment horizontal="right" wrapText="1"/>
    </xf>
    <xf numFmtId="0" fontId="20" fillId="0" borderId="10" xfId="0" applyFont="1" applyBorder="1" applyAlignment="1">
      <alignment horizontal="left" wrapText="1"/>
    </xf>
    <xf numFmtId="0" fontId="14" fillId="0" borderId="10" xfId="0" applyFont="1" applyBorder="1" applyAlignment="1">
      <alignment horizontal="right" wrapText="1"/>
    </xf>
    <xf numFmtId="0" fontId="14" fillId="0" borderId="10" xfId="0" applyFont="1" applyBorder="1" applyAlignment="1">
      <alignment horizontal="justify" wrapText="1"/>
    </xf>
    <xf numFmtId="0" fontId="14" fillId="0" borderId="12" xfId="0" applyFont="1" applyBorder="1">
      <alignment vertical="center"/>
    </xf>
    <xf numFmtId="0" fontId="14" fillId="0" borderId="13" xfId="0" applyFont="1" applyBorder="1" applyAlignment="1">
      <alignment horizontal="justify" wrapText="1"/>
    </xf>
    <xf numFmtId="2" fontId="14" fillId="0" borderId="13" xfId="0" applyNumberFormat="1" applyFont="1" applyBorder="1" applyAlignment="1">
      <alignment horizontal="right" wrapText="1"/>
    </xf>
    <xf numFmtId="1" fontId="14" fillId="0" borderId="13" xfId="0" applyNumberFormat="1" applyFont="1" applyBorder="1" applyAlignment="1">
      <alignment horizontal="right" wrapText="1"/>
    </xf>
    <xf numFmtId="0" fontId="20" fillId="0" borderId="0" xfId="0" applyFont="1" applyAlignment="1">
      <alignment horizontal="left" vertical="center"/>
    </xf>
    <xf numFmtId="0" fontId="20" fillId="0" borderId="0" xfId="0" applyFont="1" applyBorder="1" applyAlignment="1">
      <alignment horizontal="left" vertical="center"/>
    </xf>
    <xf numFmtId="0" fontId="14" fillId="0" borderId="0" xfId="0" applyFont="1" applyBorder="1" applyAlignment="1">
      <alignment vertical="center"/>
    </xf>
    <xf numFmtId="0" fontId="20" fillId="0" borderId="0" xfId="0" applyFont="1" applyBorder="1" applyAlignment="1">
      <alignment horizontal="right" vertical="center"/>
    </xf>
    <xf numFmtId="0" fontId="20" fillId="0" borderId="0" xfId="0" applyFont="1" applyBorder="1" applyAlignment="1">
      <alignment vertical="center"/>
    </xf>
    <xf numFmtId="0" fontId="14" fillId="0" borderId="11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4" fillId="0" borderId="10" xfId="0" applyFont="1" applyBorder="1" applyAlignment="1">
      <alignment horizontal="right" vertical="center"/>
    </xf>
    <xf numFmtId="1" fontId="14" fillId="0" borderId="10" xfId="0" applyNumberFormat="1" applyFont="1" applyBorder="1" applyAlignment="1">
      <alignment horizontal="right" vertical="center"/>
    </xf>
    <xf numFmtId="0" fontId="20" fillId="0" borderId="10" xfId="0" applyFont="1" applyBorder="1">
      <alignment vertical="center"/>
    </xf>
    <xf numFmtId="189" fontId="14" fillId="0" borderId="10" xfId="0" applyNumberFormat="1" applyFont="1" applyBorder="1" applyAlignment="1">
      <alignment horizontal="right" vertical="center"/>
    </xf>
    <xf numFmtId="0" fontId="14" fillId="0" borderId="12" xfId="0" applyFont="1" applyBorder="1" applyAlignment="1">
      <alignment horizontal="left" vertical="center"/>
    </xf>
    <xf numFmtId="0" fontId="20" fillId="0" borderId="13" xfId="0" applyFont="1" applyBorder="1">
      <alignment vertical="center"/>
    </xf>
    <xf numFmtId="0" fontId="14" fillId="0" borderId="13" xfId="0" applyFont="1" applyBorder="1" applyAlignment="1">
      <alignment horizontal="right" vertical="center"/>
    </xf>
    <xf numFmtId="0" fontId="14" fillId="0" borderId="24" xfId="0" applyFont="1" applyBorder="1" applyAlignment="1">
      <alignment horizontal="left" vertical="center"/>
    </xf>
    <xf numFmtId="0" fontId="20" fillId="0" borderId="25" xfId="0" applyFont="1" applyBorder="1">
      <alignment vertical="center"/>
    </xf>
    <xf numFmtId="0" fontId="14" fillId="0" borderId="25" xfId="0" applyFont="1" applyBorder="1" applyAlignment="1">
      <alignment horizontal="right" vertical="center"/>
    </xf>
    <xf numFmtId="0" fontId="14" fillId="0" borderId="25" xfId="0" applyFont="1" applyBorder="1">
      <alignment vertical="center"/>
    </xf>
    <xf numFmtId="182" fontId="14" fillId="0" borderId="10" xfId="0" applyNumberFormat="1" applyFont="1" applyBorder="1">
      <alignment vertical="center"/>
    </xf>
    <xf numFmtId="0" fontId="14" fillId="0" borderId="13" xfId="0" applyFont="1" applyBorder="1">
      <alignment vertical="center"/>
    </xf>
    <xf numFmtId="189" fontId="14" fillId="0" borderId="10" xfId="0" applyNumberFormat="1" applyFont="1" applyBorder="1" applyAlignment="1">
      <alignment horizontal="right" wrapText="1"/>
    </xf>
    <xf numFmtId="2" fontId="14" fillId="0" borderId="15" xfId="0" applyNumberFormat="1" applyFont="1" applyBorder="1" applyAlignment="1">
      <alignment horizontal="right" wrapText="1"/>
    </xf>
    <xf numFmtId="1" fontId="14" fillId="0" borderId="15" xfId="0" applyNumberFormat="1" applyFont="1" applyBorder="1" applyAlignment="1">
      <alignment horizontal="right" wrapText="1"/>
    </xf>
    <xf numFmtId="0" fontId="14" fillId="0" borderId="26" xfId="0" applyFont="1" applyBorder="1">
      <alignment vertical="center"/>
    </xf>
    <xf numFmtId="182" fontId="14" fillId="0" borderId="15" xfId="0" applyNumberFormat="1" applyFont="1" applyBorder="1">
      <alignment vertical="center"/>
    </xf>
    <xf numFmtId="0" fontId="14" fillId="0" borderId="0" xfId="0" applyFont="1" applyAlignment="1">
      <alignment vertical="center"/>
    </xf>
    <xf numFmtId="0" fontId="7" fillId="0" borderId="10" xfId="0" applyFont="1" applyBorder="1" applyAlignment="1">
      <alignment horizontal="justify" wrapText="1"/>
    </xf>
    <xf numFmtId="190" fontId="14" fillId="0" borderId="10" xfId="0" applyNumberFormat="1" applyFont="1" applyBorder="1" applyAlignment="1">
      <alignment horizontal="right" wrapText="1"/>
    </xf>
    <xf numFmtId="0" fontId="20" fillId="0" borderId="10" xfId="0" applyFont="1" applyBorder="1" applyAlignment="1">
      <alignment vertical="center"/>
    </xf>
    <xf numFmtId="184" fontId="14" fillId="0" borderId="10" xfId="0" applyNumberFormat="1" applyFont="1" applyBorder="1" applyAlignment="1">
      <alignment horizontal="right" wrapText="1"/>
    </xf>
    <xf numFmtId="0" fontId="20" fillId="0" borderId="13" xfId="0" applyFont="1" applyBorder="1" applyAlignment="1">
      <alignment horizontal="justify" wrapText="1"/>
    </xf>
    <xf numFmtId="0" fontId="22" fillId="0" borderId="0" xfId="0" applyFont="1" applyAlignment="1">
      <alignment vertical="center"/>
    </xf>
    <xf numFmtId="0" fontId="20" fillId="0" borderId="27" xfId="0" applyFont="1" applyBorder="1" applyAlignment="1">
      <alignment vertical="center"/>
    </xf>
    <xf numFmtId="0" fontId="14" fillId="0" borderId="28" xfId="0" applyFont="1" applyBorder="1">
      <alignment vertical="center"/>
    </xf>
    <xf numFmtId="186" fontId="14" fillId="10" borderId="28" xfId="0" applyNumberFormat="1" applyFont="1" applyFill="1" applyBorder="1">
      <alignment vertical="center"/>
    </xf>
    <xf numFmtId="0" fontId="20" fillId="0" borderId="29" xfId="0" applyFont="1" applyBorder="1" applyAlignment="1">
      <alignment vertical="center"/>
    </xf>
    <xf numFmtId="186" fontId="14" fillId="10" borderId="10" xfId="0" applyNumberFormat="1" applyFont="1" applyFill="1" applyBorder="1">
      <alignment vertical="center"/>
    </xf>
    <xf numFmtId="186" fontId="14" fillId="10" borderId="0" xfId="0" applyNumberFormat="1" applyFont="1" applyFill="1" applyBorder="1">
      <alignment vertical="center"/>
    </xf>
    <xf numFmtId="191" fontId="14" fillId="0" borderId="10" xfId="0" applyNumberFormat="1" applyFont="1" applyBorder="1" applyAlignment="1">
      <alignment horizontal="right" wrapText="1"/>
    </xf>
    <xf numFmtId="192" fontId="14" fillId="0" borderId="10" xfId="0" applyNumberFormat="1" applyFont="1" applyBorder="1" applyAlignment="1">
      <alignment horizontal="right" wrapText="1"/>
    </xf>
    <xf numFmtId="186" fontId="14" fillId="10" borderId="30" xfId="0" applyNumberFormat="1" applyFont="1" applyFill="1" applyBorder="1">
      <alignment vertical="center"/>
    </xf>
    <xf numFmtId="0" fontId="14" fillId="0" borderId="15" xfId="0" applyFont="1" applyBorder="1" applyAlignment="1">
      <alignment horizontal="right" wrapText="1"/>
    </xf>
    <xf numFmtId="0" fontId="20" fillId="0" borderId="15" xfId="0" applyFont="1" applyBorder="1" applyAlignment="1">
      <alignment horizontal="justify" wrapText="1"/>
    </xf>
    <xf numFmtId="0" fontId="32" fillId="0" borderId="0" xfId="0" applyFont="1">
      <alignment vertical="center"/>
    </xf>
    <xf numFmtId="0" fontId="33" fillId="0" borderId="0" xfId="0" applyFont="1">
      <alignment vertical="center"/>
    </xf>
    <xf numFmtId="0" fontId="34" fillId="0" borderId="0" xfId="0" applyFont="1">
      <alignment vertical="center"/>
    </xf>
    <xf numFmtId="0" fontId="34" fillId="0" borderId="0" xfId="0" applyFont="1" applyAlignment="1">
      <alignment horizontal="center" vertical="center"/>
    </xf>
    <xf numFmtId="196" fontId="34" fillId="0" borderId="0" xfId="0" applyNumberFormat="1" applyFont="1">
      <alignment vertical="center"/>
    </xf>
    <xf numFmtId="0" fontId="20" fillId="0" borderId="10" xfId="0" applyFont="1" applyBorder="1" applyAlignment="1">
      <alignment horizontal="justify"/>
    </xf>
    <xf numFmtId="0" fontId="14" fillId="0" borderId="11" xfId="0" applyFont="1" applyBorder="1" applyAlignment="1">
      <alignment horizontal="center"/>
    </xf>
    <xf numFmtId="0" fontId="20" fillId="0" borderId="0" xfId="0" applyFont="1" applyBorder="1">
      <alignment vertical="center"/>
    </xf>
    <xf numFmtId="0" fontId="14" fillId="0" borderId="0" xfId="0" applyFont="1" applyBorder="1" applyAlignment="1">
      <alignment horizontal="center" vertical="center"/>
    </xf>
    <xf numFmtId="0" fontId="14" fillId="0" borderId="10" xfId="0" applyFont="1" applyBorder="1" applyAlignment="1">
      <alignment horizontal="justify"/>
    </xf>
    <xf numFmtId="0" fontId="22" fillId="0" borderId="10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 wrapText="1"/>
    </xf>
    <xf numFmtId="0" fontId="14" fillId="0" borderId="33" xfId="0" applyFont="1" applyBorder="1">
      <alignment vertical="center"/>
    </xf>
    <xf numFmtId="2" fontId="14" fillId="0" borderId="0" xfId="0" applyNumberFormat="1" applyFont="1" applyBorder="1" applyAlignment="1">
      <alignment horizontal="center" vertical="center"/>
    </xf>
    <xf numFmtId="0" fontId="20" fillId="0" borderId="15" xfId="0" applyFont="1" applyBorder="1" applyAlignment="1">
      <alignment horizontal="center"/>
    </xf>
    <xf numFmtId="0" fontId="14" fillId="0" borderId="15" xfId="0" applyFont="1" applyBorder="1" applyAlignment="1">
      <alignment horizontal="center"/>
    </xf>
    <xf numFmtId="0" fontId="20" fillId="0" borderId="34" xfId="0" applyFont="1" applyBorder="1" applyAlignment="1">
      <alignment horizontal="center" vertical="center"/>
    </xf>
    <xf numFmtId="0" fontId="29" fillId="0" borderId="0" xfId="0" applyFont="1">
      <alignment vertical="center"/>
    </xf>
    <xf numFmtId="0" fontId="20" fillId="0" borderId="15" xfId="0" applyFont="1" applyBorder="1" applyAlignment="1">
      <alignment horizontal="center" vertical="center"/>
    </xf>
    <xf numFmtId="0" fontId="41" fillId="0" borderId="0" xfId="0" applyFont="1">
      <alignment vertical="center"/>
    </xf>
    <xf numFmtId="0" fontId="20" fillId="0" borderId="10" xfId="0" quotePrefix="1" applyFont="1" applyBorder="1" applyAlignment="1">
      <alignment horizontal="left" vertical="center"/>
    </xf>
    <xf numFmtId="0" fontId="20" fillId="0" borderId="10" xfId="0" quotePrefix="1" applyFont="1" applyBorder="1" applyAlignment="1">
      <alignment horizontal="left" wrapText="1"/>
    </xf>
    <xf numFmtId="0" fontId="14" fillId="0" borderId="11" xfId="0" quotePrefix="1" applyFont="1" applyBorder="1" applyAlignment="1">
      <alignment horizontal="center" vertical="center"/>
    </xf>
    <xf numFmtId="0" fontId="22" fillId="0" borderId="10" xfId="0" quotePrefix="1" applyFont="1" applyBorder="1" applyAlignment="1">
      <alignment horizontal="left" wrapText="1"/>
    </xf>
    <xf numFmtId="0" fontId="20" fillId="0" borderId="0" xfId="0" quotePrefix="1" applyFont="1" applyBorder="1" applyAlignment="1">
      <alignment horizontal="right" vertical="center"/>
    </xf>
    <xf numFmtId="0" fontId="20" fillId="0" borderId="10" xfId="0" quotePrefix="1" applyFont="1" applyBorder="1" applyAlignment="1">
      <alignment horizontal="left" vertical="center" wrapText="1"/>
    </xf>
    <xf numFmtId="0" fontId="28" fillId="0" borderId="10" xfId="0" quotePrefix="1" applyFont="1" applyBorder="1" applyAlignment="1">
      <alignment horizontal="left" vertical="top" wrapText="1"/>
    </xf>
    <xf numFmtId="0" fontId="28" fillId="0" borderId="21" xfId="0" quotePrefix="1" applyFont="1" applyBorder="1" applyAlignment="1">
      <alignment horizontal="left" vertical="top" wrapText="1"/>
    </xf>
    <xf numFmtId="0" fontId="28" fillId="0" borderId="13" xfId="0" quotePrefix="1" applyFont="1" applyBorder="1" applyAlignment="1">
      <alignment horizontal="left" vertical="top" wrapText="1"/>
    </xf>
    <xf numFmtId="0" fontId="28" fillId="0" borderId="0" xfId="0" quotePrefix="1" applyFont="1" applyBorder="1" applyAlignment="1">
      <alignment horizontal="left" vertical="top"/>
    </xf>
    <xf numFmtId="0" fontId="28" fillId="0" borderId="0" xfId="0" quotePrefix="1" applyFont="1" applyBorder="1" applyAlignment="1">
      <alignment horizontal="left" vertical="center"/>
    </xf>
    <xf numFmtId="10" fontId="14" fillId="0" borderId="0" xfId="0" applyNumberFormat="1" applyFont="1">
      <alignment vertical="center"/>
    </xf>
    <xf numFmtId="0" fontId="64" fillId="0" borderId="0" xfId="0" applyFont="1">
      <alignment vertical="center"/>
    </xf>
    <xf numFmtId="0" fontId="28" fillId="0" borderId="35" xfId="0" quotePrefix="1" applyFont="1" applyBorder="1" applyAlignment="1">
      <alignment horizontal="left" vertical="center"/>
    </xf>
    <xf numFmtId="0" fontId="0" fillId="0" borderId="35" xfId="0" applyBorder="1">
      <alignment vertical="center"/>
    </xf>
    <xf numFmtId="0" fontId="62" fillId="0" borderId="35" xfId="0" applyFont="1" applyBorder="1">
      <alignment vertical="center"/>
    </xf>
    <xf numFmtId="0" fontId="20" fillId="0" borderId="35" xfId="0" applyFont="1" applyBorder="1" applyAlignment="1">
      <alignment horizontal="left" vertical="center"/>
    </xf>
    <xf numFmtId="186" fontId="14" fillId="0" borderId="35" xfId="0" applyNumberFormat="1" applyFont="1" applyBorder="1">
      <alignment vertical="center"/>
    </xf>
    <xf numFmtId="0" fontId="14" fillId="0" borderId="35" xfId="0" applyFont="1" applyBorder="1" applyAlignment="1">
      <alignment horizontal="left" vertical="center"/>
    </xf>
    <xf numFmtId="0" fontId="14" fillId="0" borderId="35" xfId="0" applyFont="1" applyBorder="1">
      <alignment vertical="center"/>
    </xf>
    <xf numFmtId="182" fontId="14" fillId="0" borderId="35" xfId="0" applyNumberFormat="1" applyFont="1" applyBorder="1">
      <alignment vertical="center"/>
    </xf>
    <xf numFmtId="0" fontId="28" fillId="0" borderId="35" xfId="0" applyFont="1" applyBorder="1" applyAlignment="1">
      <alignment horizontal="left" vertical="top"/>
    </xf>
    <xf numFmtId="1" fontId="14" fillId="0" borderId="35" xfId="0" applyNumberFormat="1" applyFont="1" applyBorder="1">
      <alignment vertical="center"/>
    </xf>
    <xf numFmtId="0" fontId="20" fillId="11" borderId="35" xfId="0" applyFont="1" applyFill="1" applyBorder="1" applyAlignment="1">
      <alignment horizontal="left" vertical="center"/>
    </xf>
    <xf numFmtId="10" fontId="14" fillId="0" borderId="35" xfId="0" applyNumberFormat="1" applyFont="1" applyBorder="1">
      <alignment vertical="center"/>
    </xf>
    <xf numFmtId="0" fontId="62" fillId="0" borderId="0" xfId="0" applyFont="1">
      <alignment vertical="center"/>
    </xf>
    <xf numFmtId="0" fontId="20" fillId="0" borderId="35" xfId="0" applyFont="1" applyFill="1" applyBorder="1" applyAlignment="1">
      <alignment horizontal="left" vertical="center"/>
    </xf>
    <xf numFmtId="182" fontId="0" fillId="0" borderId="0" xfId="0" applyNumberFormat="1">
      <alignment vertical="center"/>
    </xf>
    <xf numFmtId="182" fontId="0" fillId="0" borderId="35" xfId="0" applyNumberFormat="1" applyBorder="1">
      <alignment vertical="center"/>
    </xf>
    <xf numFmtId="183" fontId="3" fillId="0" borderId="0" xfId="0" applyNumberFormat="1" applyFont="1" applyAlignment="1">
      <alignment vertical="center"/>
    </xf>
    <xf numFmtId="0" fontId="65" fillId="0" borderId="0" xfId="0" applyFont="1" applyAlignment="1">
      <alignment vertical="center"/>
    </xf>
    <xf numFmtId="0" fontId="65" fillId="0" borderId="0" xfId="0" applyFont="1" applyAlignment="1">
      <alignment horizontal="left" vertical="center"/>
    </xf>
    <xf numFmtId="0" fontId="65" fillId="0" borderId="0" xfId="0" applyFont="1" applyFill="1" applyAlignment="1">
      <alignment vertical="center"/>
    </xf>
    <xf numFmtId="190" fontId="65" fillId="0" borderId="0" xfId="0" applyNumberFormat="1" applyFont="1" applyAlignment="1">
      <alignment vertical="center"/>
    </xf>
    <xf numFmtId="43" fontId="3" fillId="0" borderId="0" xfId="0" applyNumberFormat="1" applyFont="1" applyAlignment="1">
      <alignment vertical="center"/>
    </xf>
    <xf numFmtId="0" fontId="62" fillId="0" borderId="0" xfId="0" applyFont="1" applyAlignment="1">
      <alignment vertical="center"/>
    </xf>
    <xf numFmtId="180" fontId="14" fillId="0" borderId="0" xfId="0" applyNumberFormat="1" applyFont="1">
      <alignment vertical="center"/>
    </xf>
    <xf numFmtId="184" fontId="14" fillId="0" borderId="0" xfId="0" applyNumberFormat="1" applyFont="1">
      <alignment vertical="center"/>
    </xf>
    <xf numFmtId="10" fontId="0" fillId="0" borderId="0" xfId="0" applyNumberFormat="1">
      <alignment vertical="center"/>
    </xf>
    <xf numFmtId="186" fontId="0" fillId="0" borderId="0" xfId="0" applyNumberFormat="1">
      <alignment vertical="center"/>
    </xf>
    <xf numFmtId="10" fontId="14" fillId="0" borderId="0" xfId="0" applyNumberFormat="1" applyFont="1" applyAlignment="1">
      <alignment horizontal="left" vertical="center"/>
    </xf>
    <xf numFmtId="10" fontId="8" fillId="0" borderId="0" xfId="0" applyNumberFormat="1" applyFont="1" applyBorder="1" applyAlignment="1">
      <alignment horizontal="right" vertical="top" wrapText="1"/>
    </xf>
    <xf numFmtId="0" fontId="22" fillId="0" borderId="0" xfId="0" applyFont="1">
      <alignment vertical="center"/>
    </xf>
    <xf numFmtId="182" fontId="14" fillId="0" borderId="0" xfId="0" applyNumberFormat="1" applyFont="1">
      <alignment vertical="center"/>
    </xf>
    <xf numFmtId="186" fontId="20" fillId="0" borderId="36" xfId="0" applyNumberFormat="1" applyFont="1" applyBorder="1" applyAlignment="1">
      <alignment horizontal="center" vertical="center"/>
    </xf>
    <xf numFmtId="0" fontId="20" fillId="0" borderId="19" xfId="0" applyFont="1" applyBorder="1" applyAlignment="1">
      <alignment vertical="center"/>
    </xf>
    <xf numFmtId="0" fontId="14" fillId="5" borderId="35" xfId="0" applyFont="1" applyFill="1" applyBorder="1" applyAlignment="1" applyProtection="1">
      <alignment horizontal="center" vertical="center"/>
      <protection locked="0"/>
    </xf>
    <xf numFmtId="185" fontId="14" fillId="5" borderId="35" xfId="0" applyNumberFormat="1" applyFont="1" applyFill="1" applyBorder="1" applyAlignment="1" applyProtection="1">
      <alignment horizontal="center" vertical="center" wrapText="1"/>
      <protection locked="0"/>
    </xf>
    <xf numFmtId="185" fontId="14" fillId="10" borderId="35" xfId="0" applyNumberFormat="1" applyFont="1" applyFill="1" applyBorder="1" applyAlignment="1" applyProtection="1">
      <alignment horizontal="center" vertical="center" wrapText="1"/>
    </xf>
    <xf numFmtId="180" fontId="14" fillId="5" borderId="35" xfId="0" applyNumberFormat="1" applyFont="1" applyFill="1" applyBorder="1" applyAlignment="1" applyProtection="1">
      <alignment horizontal="center" vertical="center" wrapText="1"/>
      <protection locked="0"/>
    </xf>
    <xf numFmtId="10" fontId="14" fillId="0" borderId="35" xfId="1" applyNumberFormat="1" applyFont="1" applyBorder="1" applyAlignment="1">
      <alignment horizontal="center" vertical="center"/>
    </xf>
    <xf numFmtId="0" fontId="14" fillId="0" borderId="35" xfId="0" applyFont="1" applyBorder="1" applyAlignment="1">
      <alignment horizontal="center" vertical="center"/>
    </xf>
    <xf numFmtId="0" fontId="14" fillId="10" borderId="0" xfId="0" applyFont="1" applyFill="1">
      <alignment vertical="center"/>
    </xf>
    <xf numFmtId="0" fontId="14" fillId="10" borderId="11" xfId="0" applyFont="1" applyFill="1" applyBorder="1" applyAlignment="1">
      <alignment horizontal="center" vertical="center"/>
    </xf>
    <xf numFmtId="0" fontId="20" fillId="10" borderId="10" xfId="0" applyFont="1" applyFill="1" applyBorder="1" applyAlignment="1">
      <alignment horizontal="justify" wrapText="1"/>
    </xf>
    <xf numFmtId="0" fontId="14" fillId="10" borderId="10" xfId="0" applyFont="1" applyFill="1" applyBorder="1" applyAlignment="1">
      <alignment horizontal="right" wrapText="1"/>
    </xf>
    <xf numFmtId="186" fontId="14" fillId="10" borderId="15" xfId="0" applyNumberFormat="1" applyFont="1" applyFill="1" applyBorder="1" applyAlignment="1">
      <alignment horizontal="right" wrapText="1"/>
    </xf>
    <xf numFmtId="2" fontId="14" fillId="10" borderId="10" xfId="0" applyNumberFormat="1" applyFont="1" applyFill="1" applyBorder="1" applyAlignment="1">
      <alignment horizontal="right" wrapText="1"/>
    </xf>
    <xf numFmtId="10" fontId="14" fillId="5" borderId="35" xfId="1" applyNumberFormat="1" applyFont="1" applyFill="1" applyBorder="1" applyAlignment="1" applyProtection="1">
      <alignment horizontal="center" vertical="center"/>
      <protection locked="0"/>
    </xf>
    <xf numFmtId="9" fontId="14" fillId="5" borderId="35" xfId="0" applyNumberFormat="1" applyFont="1" applyFill="1" applyBorder="1" applyAlignment="1" applyProtection="1">
      <alignment horizontal="center" vertical="center"/>
      <protection locked="0"/>
    </xf>
    <xf numFmtId="184" fontId="14" fillId="5" borderId="35" xfId="0" applyNumberFormat="1" applyFont="1" applyFill="1" applyBorder="1" applyAlignment="1" applyProtection="1">
      <alignment horizontal="center" vertical="center" wrapText="1"/>
      <protection locked="0"/>
    </xf>
    <xf numFmtId="180" fontId="14" fillId="5" borderId="35" xfId="1" applyNumberFormat="1" applyFont="1" applyFill="1" applyBorder="1" applyAlignment="1" applyProtection="1">
      <alignment horizontal="center" vertical="center"/>
      <protection locked="0"/>
    </xf>
    <xf numFmtId="0" fontId="14" fillId="0" borderId="35" xfId="0" applyFont="1" applyBorder="1" applyAlignment="1" applyProtection="1">
      <alignment horizontal="center" vertical="center"/>
    </xf>
    <xf numFmtId="0" fontId="36" fillId="0" borderId="0" xfId="0" applyFont="1" applyAlignment="1">
      <alignment vertical="center"/>
    </xf>
    <xf numFmtId="0" fontId="37" fillId="0" borderId="35" xfId="8" applyFont="1" applyBorder="1" applyAlignment="1">
      <alignment vertical="center"/>
    </xf>
    <xf numFmtId="0" fontId="2" fillId="0" borderId="35" xfId="8" applyFont="1" applyBorder="1" applyAlignment="1">
      <alignment horizontal="center" vertical="center"/>
    </xf>
    <xf numFmtId="0" fontId="3" fillId="0" borderId="35" xfId="8" applyFont="1" applyBorder="1" applyAlignment="1">
      <alignment horizontal="center" vertical="center"/>
    </xf>
    <xf numFmtId="0" fontId="0" fillId="0" borderId="35" xfId="8" applyFont="1" applyBorder="1" applyAlignment="1">
      <alignment horizontal="left" vertical="center"/>
    </xf>
    <xf numFmtId="9" fontId="3" fillId="0" borderId="35" xfId="8" applyNumberFormat="1" applyFont="1" applyBorder="1" applyAlignment="1">
      <alignment horizontal="right" vertical="center"/>
    </xf>
    <xf numFmtId="10" fontId="3" fillId="0" borderId="35" xfId="8" applyNumberFormat="1" applyFont="1" applyBorder="1" applyAlignment="1">
      <alignment horizontal="center" vertical="center"/>
    </xf>
    <xf numFmtId="10" fontId="3" fillId="0" borderId="35" xfId="8" applyNumberFormat="1" applyFont="1" applyBorder="1" applyAlignment="1">
      <alignment horizontal="right" vertical="center"/>
    </xf>
    <xf numFmtId="0" fontId="34" fillId="0" borderId="35" xfId="0" applyFont="1" applyBorder="1">
      <alignment vertical="center"/>
    </xf>
    <xf numFmtId="180" fontId="3" fillId="0" borderId="35" xfId="8" applyNumberFormat="1" applyFont="1" applyBorder="1" applyAlignment="1">
      <alignment horizontal="center" vertical="center"/>
    </xf>
    <xf numFmtId="180" fontId="3" fillId="0" borderId="35" xfId="8" applyNumberFormat="1" applyFont="1" applyBorder="1" applyAlignment="1">
      <alignment horizontal="right" vertical="center"/>
    </xf>
    <xf numFmtId="0" fontId="38" fillId="0" borderId="35" xfId="8" applyFont="1" applyBorder="1" applyAlignment="1">
      <alignment horizontal="left" vertical="center"/>
    </xf>
    <xf numFmtId="0" fontId="39" fillId="0" borderId="35" xfId="8" applyFont="1" applyBorder="1" applyAlignment="1">
      <alignment horizontal="left" vertical="center"/>
    </xf>
    <xf numFmtId="193" fontId="38" fillId="0" borderId="35" xfId="8" applyNumberFormat="1" applyFont="1" applyBorder="1" applyAlignment="1">
      <alignment horizontal="right" vertical="center"/>
    </xf>
    <xf numFmtId="194" fontId="38" fillId="0" borderId="35" xfId="16" applyNumberFormat="1" applyFont="1" applyBorder="1" applyAlignment="1">
      <alignment horizontal="center" vertical="center"/>
    </xf>
    <xf numFmtId="196" fontId="38" fillId="0" borderId="35" xfId="16" applyNumberFormat="1" applyFont="1" applyBorder="1" applyAlignment="1">
      <alignment horizontal="right" vertical="center"/>
    </xf>
    <xf numFmtId="195" fontId="3" fillId="0" borderId="35" xfId="16" applyNumberFormat="1" applyFont="1" applyBorder="1" applyAlignment="1">
      <alignment horizontal="center" vertical="center"/>
    </xf>
    <xf numFmtId="0" fontId="3" fillId="0" borderId="35" xfId="8" applyFont="1" applyBorder="1" applyAlignment="1">
      <alignment horizontal="left" vertical="center"/>
    </xf>
    <xf numFmtId="0" fontId="0" fillId="0" borderId="35" xfId="8" applyFont="1" applyBorder="1" applyAlignment="1">
      <alignment horizontal="left" vertical="center" indent="1"/>
    </xf>
    <xf numFmtId="194" fontId="3" fillId="0" borderId="35" xfId="8" applyNumberFormat="1" applyFont="1" applyBorder="1" applyAlignment="1">
      <alignment horizontal="center" vertical="center"/>
    </xf>
    <xf numFmtId="194" fontId="3" fillId="0" borderId="35" xfId="8" applyNumberFormat="1" applyFont="1" applyBorder="1" applyAlignment="1">
      <alignment vertical="center"/>
    </xf>
    <xf numFmtId="195" fontId="2" fillId="0" borderId="35" xfId="16" applyNumberFormat="1" applyFont="1" applyBorder="1" applyAlignment="1">
      <alignment horizontal="right" vertical="center"/>
    </xf>
    <xf numFmtId="203" fontId="3" fillId="0" borderId="35" xfId="16" applyNumberFormat="1" applyFont="1" applyBorder="1" applyAlignment="1">
      <alignment horizontal="center" vertical="center"/>
    </xf>
    <xf numFmtId="196" fontId="2" fillId="0" borderId="35" xfId="16" applyNumberFormat="1" applyFont="1" applyBorder="1" applyAlignment="1">
      <alignment horizontal="right" vertical="center"/>
    </xf>
    <xf numFmtId="183" fontId="3" fillId="0" borderId="35" xfId="16" applyNumberFormat="1" applyFont="1" applyBorder="1" applyAlignment="1">
      <alignment horizontal="center" vertical="center"/>
    </xf>
    <xf numFmtId="193" fontId="38" fillId="0" borderId="35" xfId="8" applyNumberFormat="1" applyFont="1" applyBorder="1" applyAlignment="1">
      <alignment horizontal="center" vertical="center"/>
    </xf>
    <xf numFmtId="196" fontId="38" fillId="0" borderId="35" xfId="8" applyNumberFormat="1" applyFont="1" applyBorder="1" applyAlignment="1">
      <alignment horizontal="right" vertical="center"/>
    </xf>
    <xf numFmtId="0" fontId="2" fillId="0" borderId="35" xfId="8" applyFont="1" applyBorder="1" applyAlignment="1">
      <alignment horizontal="left" vertical="center"/>
    </xf>
    <xf numFmtId="0" fontId="40" fillId="0" borderId="35" xfId="8" applyFont="1" applyBorder="1" applyAlignment="1">
      <alignment horizontal="left" vertical="center" indent="1"/>
    </xf>
    <xf numFmtId="203" fontId="38" fillId="0" borderId="35" xfId="8" applyNumberFormat="1" applyFont="1" applyBorder="1" applyAlignment="1">
      <alignment horizontal="right" vertical="center"/>
    </xf>
    <xf numFmtId="194" fontId="2" fillId="0" borderId="35" xfId="8" applyNumberFormat="1" applyFont="1" applyBorder="1" applyAlignment="1">
      <alignment horizontal="center" vertical="center"/>
    </xf>
    <xf numFmtId="196" fontId="2" fillId="0" borderId="35" xfId="8" applyNumberFormat="1" applyFont="1" applyBorder="1" applyAlignment="1">
      <alignment horizontal="right" vertical="center"/>
    </xf>
    <xf numFmtId="0" fontId="0" fillId="0" borderId="35" xfId="8" applyFont="1" applyBorder="1" applyAlignment="1">
      <alignment horizontal="left" vertical="center" indent="2"/>
    </xf>
    <xf numFmtId="196" fontId="3" fillId="0" borderId="35" xfId="8" applyNumberFormat="1" applyFont="1" applyBorder="1" applyAlignment="1">
      <alignment horizontal="right" vertical="center"/>
    </xf>
    <xf numFmtId="43" fontId="3" fillId="0" borderId="35" xfId="16" applyNumberFormat="1" applyFont="1" applyBorder="1" applyAlignment="1">
      <alignment horizontal="center" vertical="center"/>
    </xf>
    <xf numFmtId="10" fontId="14" fillId="5" borderId="37" xfId="1" applyNumberFormat="1" applyFont="1" applyFill="1" applyBorder="1" applyAlignment="1" applyProtection="1">
      <alignment horizontal="center" vertical="center"/>
      <protection locked="0"/>
    </xf>
    <xf numFmtId="0" fontId="20" fillId="10" borderId="38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/>
    </xf>
    <xf numFmtId="0" fontId="20" fillId="10" borderId="17" xfId="0" applyFont="1" applyFill="1" applyBorder="1" applyAlignment="1">
      <alignment horizontal="center" vertical="center" wrapText="1"/>
    </xf>
    <xf numFmtId="0" fontId="20" fillId="10" borderId="14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/>
    </xf>
    <xf numFmtId="0" fontId="20" fillId="10" borderId="10" xfId="0" applyFont="1" applyFill="1" applyBorder="1" applyAlignment="1">
      <alignment horizontal="justify"/>
    </xf>
    <xf numFmtId="0" fontId="20" fillId="10" borderId="39" xfId="0" applyFont="1" applyFill="1" applyBorder="1" applyAlignment="1">
      <alignment horizontal="center"/>
    </xf>
    <xf numFmtId="0" fontId="20" fillId="10" borderId="15" xfId="0" applyFont="1" applyFill="1" applyBorder="1" applyAlignment="1">
      <alignment horizontal="center"/>
    </xf>
    <xf numFmtId="0" fontId="20" fillId="10" borderId="10" xfId="0" applyFont="1" applyFill="1" applyBorder="1">
      <alignment vertical="center"/>
    </xf>
    <xf numFmtId="0" fontId="20" fillId="10" borderId="39" xfId="0" applyFont="1" applyFill="1" applyBorder="1" applyAlignment="1">
      <alignment horizontal="center" vertical="center"/>
    </xf>
    <xf numFmtId="0" fontId="20" fillId="10" borderId="0" xfId="0" applyFont="1" applyFill="1" applyBorder="1">
      <alignment vertical="center"/>
    </xf>
    <xf numFmtId="0" fontId="14" fillId="10" borderId="11" xfId="0" applyFont="1" applyFill="1" applyBorder="1">
      <alignment vertical="center"/>
    </xf>
    <xf numFmtId="0" fontId="14" fillId="10" borderId="15" xfId="0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justify"/>
    </xf>
    <xf numFmtId="0" fontId="22" fillId="10" borderId="10" xfId="0" applyFont="1" applyFill="1" applyBorder="1" applyAlignment="1">
      <alignment horizontal="center" vertical="center"/>
    </xf>
    <xf numFmtId="0" fontId="14" fillId="10" borderId="15" xfId="0" applyFont="1" applyFill="1" applyBorder="1" applyAlignment="1">
      <alignment horizontal="center"/>
    </xf>
    <xf numFmtId="0" fontId="20" fillId="10" borderId="10" xfId="0" applyFont="1" applyFill="1" applyBorder="1" applyAlignment="1">
      <alignment horizontal="left"/>
    </xf>
    <xf numFmtId="0" fontId="14" fillId="10" borderId="15" xfId="0" applyFont="1" applyFill="1" applyBorder="1">
      <alignment vertical="center"/>
    </xf>
    <xf numFmtId="0" fontId="14" fillId="10" borderId="12" xfId="0" applyFont="1" applyFill="1" applyBorder="1" applyAlignment="1">
      <alignment horizontal="center"/>
    </xf>
    <xf numFmtId="0" fontId="20" fillId="10" borderId="13" xfId="0" applyFont="1" applyFill="1" applyBorder="1">
      <alignment vertical="center"/>
    </xf>
    <xf numFmtId="0" fontId="14" fillId="10" borderId="40" xfId="0" applyFont="1" applyFill="1" applyBorder="1">
      <alignment vertical="center"/>
    </xf>
    <xf numFmtId="0" fontId="14" fillId="10" borderId="12" xfId="0" applyFont="1" applyFill="1" applyBorder="1" applyAlignment="1">
      <alignment horizontal="center" vertical="center"/>
    </xf>
    <xf numFmtId="0" fontId="20" fillId="10" borderId="16" xfId="0" applyFont="1" applyFill="1" applyBorder="1" applyAlignment="1">
      <alignment horizontal="center" vertical="center"/>
    </xf>
    <xf numFmtId="0" fontId="20" fillId="10" borderId="10" xfId="0" quotePrefix="1" applyFont="1" applyFill="1" applyBorder="1" applyAlignment="1">
      <alignment horizontal="left"/>
    </xf>
    <xf numFmtId="0" fontId="14" fillId="10" borderId="10" xfId="0" quotePrefix="1" applyFont="1" applyFill="1" applyBorder="1" applyAlignment="1">
      <alignment horizontal="left"/>
    </xf>
    <xf numFmtId="0" fontId="20" fillId="10" borderId="15" xfId="0" applyFont="1" applyFill="1" applyBorder="1" applyAlignment="1">
      <alignment horizontal="center" vertical="center"/>
    </xf>
    <xf numFmtId="0" fontId="65" fillId="0" borderId="35" xfId="0" applyFont="1" applyFill="1" applyBorder="1" applyAlignment="1">
      <alignment horizontal="center" vertical="center"/>
    </xf>
    <xf numFmtId="0" fontId="65" fillId="0" borderId="35" xfId="0" applyFont="1" applyBorder="1" applyAlignment="1">
      <alignment horizontal="center" vertical="center"/>
    </xf>
    <xf numFmtId="0" fontId="65" fillId="0" borderId="35" xfId="0" applyFont="1" applyBorder="1" applyAlignment="1">
      <alignment vertical="center"/>
    </xf>
    <xf numFmtId="0" fontId="25" fillId="0" borderId="35" xfId="0" applyFont="1" applyFill="1" applyBorder="1" applyAlignment="1">
      <alignment vertical="center"/>
    </xf>
    <xf numFmtId="182" fontId="65" fillId="0" borderId="35" xfId="0" applyNumberFormat="1" applyFont="1" applyFill="1" applyBorder="1" applyAlignment="1">
      <alignment horizontal="center" vertical="center"/>
    </xf>
    <xf numFmtId="182" fontId="66" fillId="0" borderId="35" xfId="0" applyNumberFormat="1" applyFont="1" applyFill="1" applyBorder="1" applyAlignment="1">
      <alignment horizontal="right" vertical="center"/>
    </xf>
    <xf numFmtId="0" fontId="65" fillId="0" borderId="35" xfId="0" applyFont="1" applyFill="1" applyBorder="1" applyAlignment="1">
      <alignment vertical="center"/>
    </xf>
    <xf numFmtId="182" fontId="66" fillId="11" borderId="35" xfId="0" applyNumberFormat="1" applyFont="1" applyFill="1" applyBorder="1" applyAlignment="1">
      <alignment horizontal="right" vertical="center"/>
    </xf>
    <xf numFmtId="0" fontId="65" fillId="0" borderId="35" xfId="0" applyFont="1" applyBorder="1" applyAlignment="1">
      <alignment horizontal="left" vertical="center"/>
    </xf>
    <xf numFmtId="10" fontId="65" fillId="0" borderId="35" xfId="0" applyNumberFormat="1" applyFont="1" applyBorder="1" applyAlignment="1">
      <alignment vertical="center"/>
    </xf>
    <xf numFmtId="9" fontId="65" fillId="0" borderId="35" xfId="0" applyNumberFormat="1" applyFont="1" applyBorder="1" applyAlignment="1">
      <alignment vertical="center"/>
    </xf>
    <xf numFmtId="182" fontId="65" fillId="0" borderId="35" xfId="0" applyNumberFormat="1" applyFont="1" applyFill="1" applyBorder="1" applyAlignment="1">
      <alignment vertical="center"/>
    </xf>
    <xf numFmtId="0" fontId="25" fillId="0" borderId="35" xfId="0" applyFont="1" applyBorder="1" applyAlignment="1">
      <alignment horizontal="left" vertical="center"/>
    </xf>
    <xf numFmtId="184" fontId="65" fillId="0" borderId="35" xfId="0" applyNumberFormat="1" applyFont="1" applyBorder="1" applyAlignment="1">
      <alignment vertical="center"/>
    </xf>
    <xf numFmtId="182" fontId="65" fillId="0" borderId="35" xfId="0" applyNumberFormat="1" applyFont="1" applyBorder="1" applyAlignment="1">
      <alignment vertical="center"/>
    </xf>
    <xf numFmtId="0" fontId="20" fillId="0" borderId="36" xfId="0" applyFont="1" applyBorder="1" applyAlignment="1">
      <alignment horizontal="center" vertical="center"/>
    </xf>
    <xf numFmtId="0" fontId="20" fillId="0" borderId="19" xfId="0" quotePrefix="1" applyFont="1" applyBorder="1" applyAlignment="1">
      <alignment vertical="center"/>
    </xf>
    <xf numFmtId="0" fontId="7" fillId="10" borderId="36" xfId="0" applyFont="1" applyFill="1" applyBorder="1" applyAlignment="1">
      <alignment horizontal="center" vertical="center" wrapText="1"/>
    </xf>
    <xf numFmtId="0" fontId="20" fillId="10" borderId="41" xfId="0" applyFont="1" applyFill="1" applyBorder="1" applyAlignment="1">
      <alignment vertical="center"/>
    </xf>
    <xf numFmtId="0" fontId="14" fillId="10" borderId="42" xfId="0" applyFont="1" applyFill="1" applyBorder="1">
      <alignment vertical="center"/>
    </xf>
    <xf numFmtId="186" fontId="14" fillId="10" borderId="42" xfId="0" applyNumberFormat="1" applyFont="1" applyFill="1" applyBorder="1">
      <alignment vertical="center"/>
    </xf>
    <xf numFmtId="181" fontId="14" fillId="10" borderId="10" xfId="0" applyNumberFormat="1" applyFont="1" applyFill="1" applyBorder="1" applyAlignment="1">
      <alignment horizontal="center" vertical="center"/>
    </xf>
    <xf numFmtId="181" fontId="14" fillId="10" borderId="10" xfId="0" applyNumberFormat="1" applyFont="1" applyFill="1" applyBorder="1" applyAlignment="1">
      <alignment horizontal="center" vertical="center" wrapText="1"/>
    </xf>
    <xf numFmtId="181" fontId="14" fillId="10" borderId="0" xfId="0" applyNumberFormat="1" applyFont="1" applyFill="1" applyBorder="1" applyAlignment="1">
      <alignment horizontal="center" vertical="center"/>
    </xf>
    <xf numFmtId="181" fontId="14" fillId="10" borderId="10" xfId="1" applyNumberFormat="1" applyFont="1" applyFill="1" applyBorder="1" applyAlignment="1">
      <alignment horizontal="center" vertical="center" wrapText="1"/>
    </xf>
    <xf numFmtId="181" fontId="14" fillId="10" borderId="13" xfId="0" applyNumberFormat="1" applyFont="1" applyFill="1" applyBorder="1" applyAlignment="1">
      <alignment horizontal="center" vertical="center"/>
    </xf>
    <xf numFmtId="0" fontId="14" fillId="10" borderId="39" xfId="0" applyFont="1" applyFill="1" applyBorder="1" applyAlignment="1">
      <alignment horizontal="center" vertical="center"/>
    </xf>
    <xf numFmtId="181" fontId="14" fillId="0" borderId="10" xfId="0" applyNumberFormat="1" applyFont="1" applyBorder="1" applyAlignment="1">
      <alignment horizontal="center" vertical="center"/>
    </xf>
    <xf numFmtId="181" fontId="20" fillId="10" borderId="10" xfId="0" applyNumberFormat="1" applyFont="1" applyFill="1" applyBorder="1" applyAlignment="1">
      <alignment horizontal="center" vertical="center" wrapText="1"/>
    </xf>
    <xf numFmtId="181" fontId="21" fillId="10" borderId="10" xfId="1" applyNumberFormat="1" applyFont="1" applyFill="1" applyBorder="1" applyAlignment="1">
      <alignment horizontal="center" vertical="center" wrapText="1"/>
    </xf>
    <xf numFmtId="181" fontId="21" fillId="10" borderId="10" xfId="0" applyNumberFormat="1" applyFont="1" applyFill="1" applyBorder="1" applyAlignment="1">
      <alignment horizontal="center" vertical="center" wrapText="1"/>
    </xf>
    <xf numFmtId="181" fontId="14" fillId="0" borderId="10" xfId="0" applyNumberFormat="1" applyFont="1" applyBorder="1">
      <alignment vertical="center"/>
    </xf>
    <xf numFmtId="181" fontId="14" fillId="0" borderId="10" xfId="1" applyNumberFormat="1" applyFont="1" applyBorder="1" applyAlignment="1">
      <alignment horizontal="center" vertical="center" wrapText="1"/>
    </xf>
    <xf numFmtId="181" fontId="14" fillId="0" borderId="10" xfId="0" applyNumberFormat="1" applyFont="1" applyBorder="1" applyAlignment="1">
      <alignment horizontal="center" vertical="center" wrapText="1"/>
    </xf>
    <xf numFmtId="181" fontId="14" fillId="10" borderId="10" xfId="0" applyNumberFormat="1" applyFont="1" applyFill="1" applyBorder="1">
      <alignment vertical="center"/>
    </xf>
    <xf numFmtId="0" fontId="20" fillId="0" borderId="15" xfId="0" applyFont="1" applyBorder="1">
      <alignment vertical="center"/>
    </xf>
    <xf numFmtId="182" fontId="32" fillId="0" borderId="0" xfId="0" applyNumberFormat="1" applyFont="1">
      <alignment vertical="center"/>
    </xf>
    <xf numFmtId="10" fontId="14" fillId="5" borderId="35" xfId="1" applyNumberFormat="1" applyFont="1" applyFill="1" applyBorder="1" applyAlignment="1" applyProtection="1">
      <alignment horizontal="center" vertical="center" wrapText="1"/>
      <protection locked="0"/>
    </xf>
    <xf numFmtId="0" fontId="14" fillId="0" borderId="0" xfId="0" applyFont="1" applyAlignment="1">
      <alignment horizontal="center" vertical="center"/>
    </xf>
    <xf numFmtId="0" fontId="14" fillId="0" borderId="37" xfId="0" applyFont="1" applyBorder="1" applyAlignment="1" applyProtection="1">
      <alignment horizontal="center" vertical="center"/>
    </xf>
    <xf numFmtId="0" fontId="14" fillId="0" borderId="35" xfId="0" applyFont="1" applyFill="1" applyBorder="1" applyAlignment="1" applyProtection="1">
      <alignment horizontal="center" vertical="center"/>
    </xf>
    <xf numFmtId="186" fontId="14" fillId="10" borderId="10" xfId="0" applyNumberFormat="1" applyFont="1" applyFill="1" applyBorder="1" applyAlignment="1">
      <alignment horizontal="right" wrapText="1"/>
    </xf>
    <xf numFmtId="0" fontId="20" fillId="0" borderId="15" xfId="0" applyFont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14" fillId="0" borderId="44" xfId="0" applyFont="1" applyBorder="1">
      <alignment vertical="center"/>
    </xf>
    <xf numFmtId="0" fontId="20" fillId="0" borderId="21" xfId="0" applyFont="1" applyBorder="1">
      <alignment vertical="center"/>
    </xf>
    <xf numFmtId="0" fontId="14" fillId="0" borderId="45" xfId="0" applyFont="1" applyBorder="1" applyAlignment="1">
      <alignment horizontal="center"/>
    </xf>
    <xf numFmtId="0" fontId="14" fillId="0" borderId="23" xfId="0" applyFont="1" applyBorder="1">
      <alignment vertical="center"/>
    </xf>
    <xf numFmtId="0" fontId="0" fillId="0" borderId="46" xfId="0" applyBorder="1" applyAlignment="1">
      <alignment vertical="center"/>
    </xf>
    <xf numFmtId="0" fontId="20" fillId="0" borderId="43" xfId="0" applyFont="1" applyBorder="1" applyAlignment="1">
      <alignment vertical="center"/>
    </xf>
    <xf numFmtId="0" fontId="16" fillId="10" borderId="0" xfId="0" applyFont="1" applyFill="1">
      <alignment vertical="center"/>
    </xf>
    <xf numFmtId="0" fontId="20" fillId="10" borderId="19" xfId="0" applyFont="1" applyFill="1" applyBorder="1" applyAlignment="1">
      <alignment vertical="center"/>
    </xf>
    <xf numFmtId="0" fontId="8" fillId="10" borderId="10" xfId="0" applyFont="1" applyFill="1" applyBorder="1" applyAlignment="1">
      <alignment horizontal="center" vertical="center" wrapText="1"/>
    </xf>
    <xf numFmtId="0" fontId="25" fillId="10" borderId="10" xfId="0" applyFont="1" applyFill="1" applyBorder="1" applyAlignment="1">
      <alignment horizontal="justify" vertical="top" wrapText="1"/>
    </xf>
    <xf numFmtId="184" fontId="25" fillId="10" borderId="10" xfId="0" applyNumberFormat="1" applyFont="1" applyFill="1" applyBorder="1" applyAlignment="1">
      <alignment vertical="top" wrapText="1"/>
    </xf>
    <xf numFmtId="184" fontId="25" fillId="10" borderId="10" xfId="0" applyNumberFormat="1" applyFont="1" applyFill="1" applyBorder="1" applyAlignment="1">
      <alignment horizontal="right" vertical="top" wrapText="1"/>
    </xf>
    <xf numFmtId="184" fontId="26" fillId="10" borderId="10" xfId="0" applyNumberFormat="1" applyFont="1" applyFill="1" applyBorder="1" applyAlignment="1">
      <alignment horizontal="right" wrapText="1"/>
    </xf>
    <xf numFmtId="0" fontId="14" fillId="10" borderId="11" xfId="0" quotePrefix="1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vertical="top" wrapText="1"/>
    </xf>
    <xf numFmtId="184" fontId="25" fillId="10" borderId="10" xfId="0" applyNumberFormat="1" applyFont="1" applyFill="1" applyBorder="1" applyAlignment="1">
      <alignment horizontal="center" vertical="top" wrapText="1"/>
    </xf>
    <xf numFmtId="0" fontId="25" fillId="10" borderId="10" xfId="0" quotePrefix="1" applyFont="1" applyFill="1" applyBorder="1" applyAlignment="1">
      <alignment horizontal="left" vertical="top" wrapText="1"/>
    </xf>
    <xf numFmtId="184" fontId="26" fillId="10" borderId="10" xfId="0" applyNumberFormat="1" applyFont="1" applyFill="1" applyBorder="1" applyAlignment="1">
      <alignment wrapText="1"/>
    </xf>
    <xf numFmtId="184" fontId="26" fillId="10" borderId="10" xfId="0" applyNumberFormat="1" applyFont="1" applyFill="1" applyBorder="1" applyAlignment="1">
      <alignment horizontal="center" wrapText="1"/>
    </xf>
    <xf numFmtId="0" fontId="27" fillId="10" borderId="10" xfId="0" applyFont="1" applyFill="1" applyBorder="1" applyAlignment="1">
      <alignment horizontal="justify" vertical="top" wrapText="1"/>
    </xf>
    <xf numFmtId="0" fontId="16" fillId="10" borderId="11" xfId="0" applyFont="1" applyFill="1" applyBorder="1">
      <alignment vertical="center"/>
    </xf>
    <xf numFmtId="185" fontId="26" fillId="10" borderId="10" xfId="0" applyNumberFormat="1" applyFont="1" applyFill="1" applyBorder="1" applyAlignment="1">
      <alignment horizontal="right" wrapText="1"/>
    </xf>
    <xf numFmtId="0" fontId="16" fillId="10" borderId="12" xfId="0" applyFont="1" applyFill="1" applyBorder="1">
      <alignment vertical="center"/>
    </xf>
    <xf numFmtId="0" fontId="27" fillId="10" borderId="13" xfId="0" applyFont="1" applyFill="1" applyBorder="1" applyAlignment="1">
      <alignment horizontal="justify" vertical="top" wrapText="1"/>
    </xf>
    <xf numFmtId="180" fontId="16" fillId="10" borderId="13" xfId="1" applyNumberFormat="1" applyFont="1" applyFill="1" applyBorder="1">
      <alignment vertical="center"/>
    </xf>
    <xf numFmtId="0" fontId="16" fillId="10" borderId="0" xfId="0" applyFont="1" applyFill="1" applyAlignment="1">
      <alignment horizontal="left" vertical="center"/>
    </xf>
    <xf numFmtId="182" fontId="16" fillId="10" borderId="0" xfId="0" applyNumberFormat="1" applyFont="1" applyFill="1">
      <alignment vertical="center"/>
    </xf>
    <xf numFmtId="182" fontId="7" fillId="10" borderId="0" xfId="0" applyNumberFormat="1" applyFont="1" applyFill="1" applyAlignment="1">
      <alignment horizontal="left" vertical="center"/>
    </xf>
    <xf numFmtId="184" fontId="16" fillId="10" borderId="0" xfId="0" applyNumberFormat="1" applyFont="1" applyFill="1">
      <alignment vertical="center"/>
    </xf>
    <xf numFmtId="180" fontId="16" fillId="10" borderId="0" xfId="0" applyNumberFormat="1" applyFont="1" applyFill="1">
      <alignment vertical="center"/>
    </xf>
    <xf numFmtId="0" fontId="8" fillId="10" borderId="15" xfId="0" applyFont="1" applyFill="1" applyBorder="1" applyAlignment="1">
      <alignment horizontal="center" vertical="center" wrapText="1"/>
    </xf>
    <xf numFmtId="184" fontId="26" fillId="10" borderId="15" xfId="0" applyNumberFormat="1" applyFont="1" applyFill="1" applyBorder="1" applyAlignment="1">
      <alignment horizontal="right" wrapText="1"/>
    </xf>
    <xf numFmtId="184" fontId="26" fillId="10" borderId="15" xfId="0" applyNumberFormat="1" applyFont="1" applyFill="1" applyBorder="1" applyAlignment="1">
      <alignment horizontal="center" wrapText="1"/>
    </xf>
    <xf numFmtId="185" fontId="26" fillId="10" borderId="15" xfId="0" applyNumberFormat="1" applyFont="1" applyFill="1" applyBorder="1" applyAlignment="1">
      <alignment horizontal="right" wrapText="1"/>
    </xf>
    <xf numFmtId="180" fontId="16" fillId="10" borderId="16" xfId="1" applyNumberFormat="1" applyFont="1" applyFill="1" applyBorder="1">
      <alignment vertical="center"/>
    </xf>
    <xf numFmtId="0" fontId="14" fillId="0" borderId="47" xfId="0" applyFont="1" applyBorder="1">
      <alignment vertical="center"/>
    </xf>
    <xf numFmtId="0" fontId="20" fillId="10" borderId="15" xfId="0" applyFont="1" applyFill="1" applyBorder="1" applyAlignment="1">
      <alignment horizontal="justify"/>
    </xf>
    <xf numFmtId="0" fontId="14" fillId="0" borderId="15" xfId="0" applyFont="1" applyBorder="1" applyAlignment="1">
      <alignment horizontal="center" vertical="center"/>
    </xf>
    <xf numFmtId="0" fontId="14" fillId="0" borderId="48" xfId="0" applyFont="1" applyBorder="1">
      <alignment vertical="center"/>
    </xf>
    <xf numFmtId="0" fontId="20" fillId="0" borderId="23" xfId="0" applyFont="1" applyBorder="1">
      <alignment vertical="center"/>
    </xf>
    <xf numFmtId="0" fontId="20" fillId="0" borderId="16" xfId="0" applyFont="1" applyBorder="1">
      <alignment vertical="center"/>
    </xf>
    <xf numFmtId="0" fontId="14" fillId="0" borderId="49" xfId="0" applyFont="1" applyBorder="1">
      <alignment vertical="center"/>
    </xf>
    <xf numFmtId="0" fontId="14" fillId="0" borderId="50" xfId="0" applyFont="1" applyBorder="1">
      <alignment vertical="center"/>
    </xf>
    <xf numFmtId="1" fontId="14" fillId="0" borderId="16" xfId="0" applyNumberFormat="1" applyFont="1" applyBorder="1" applyAlignment="1">
      <alignment horizontal="right" wrapText="1"/>
    </xf>
    <xf numFmtId="0" fontId="20" fillId="0" borderId="46" xfId="0" applyFont="1" applyBorder="1" applyAlignment="1">
      <alignment vertical="center"/>
    </xf>
    <xf numFmtId="0" fontId="14" fillId="0" borderId="47" xfId="0" applyFont="1" applyBorder="1" applyAlignment="1">
      <alignment horizontal="right" vertical="center"/>
    </xf>
    <xf numFmtId="189" fontId="14" fillId="0" borderId="47" xfId="0" applyNumberFormat="1" applyFont="1" applyBorder="1" applyAlignment="1">
      <alignment horizontal="right" wrapText="1"/>
    </xf>
    <xf numFmtId="189" fontId="14" fillId="0" borderId="15" xfId="0" applyNumberFormat="1" applyFont="1" applyBorder="1" applyAlignment="1">
      <alignment horizontal="right" vertical="center"/>
    </xf>
    <xf numFmtId="0" fontId="14" fillId="0" borderId="15" xfId="0" applyFont="1" applyBorder="1" applyAlignment="1">
      <alignment horizontal="right" vertical="center"/>
    </xf>
    <xf numFmtId="189" fontId="14" fillId="0" borderId="15" xfId="0" applyNumberFormat="1" applyFont="1" applyBorder="1" applyAlignment="1">
      <alignment horizontal="right" wrapText="1"/>
    </xf>
    <xf numFmtId="186" fontId="29" fillId="10" borderId="10" xfId="0" applyNumberFormat="1" applyFont="1" applyFill="1" applyBorder="1" applyAlignment="1">
      <alignment horizontal="right" wrapText="1"/>
    </xf>
    <xf numFmtId="186" fontId="20" fillId="10" borderId="36" xfId="0" applyNumberFormat="1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186" fontId="14" fillId="10" borderId="15" xfId="0" applyNumberFormat="1" applyFont="1" applyFill="1" applyBorder="1" applyAlignment="1">
      <alignment horizontal="justify" wrapText="1"/>
    </xf>
    <xf numFmtId="186" fontId="14" fillId="10" borderId="0" xfId="0" applyNumberFormat="1" applyFont="1" applyFill="1">
      <alignment vertical="center"/>
    </xf>
    <xf numFmtId="0" fontId="14" fillId="10" borderId="20" xfId="0" applyFont="1" applyFill="1" applyBorder="1" applyAlignment="1">
      <alignment horizontal="center" vertical="center"/>
    </xf>
    <xf numFmtId="186" fontId="14" fillId="10" borderId="21" xfId="0" applyNumberFormat="1" applyFont="1" applyFill="1" applyBorder="1" applyAlignment="1">
      <alignment horizontal="right" wrapText="1"/>
    </xf>
    <xf numFmtId="0" fontId="14" fillId="10" borderId="12" xfId="0" quotePrefix="1" applyFont="1" applyFill="1" applyBorder="1" applyAlignment="1">
      <alignment horizontal="center" vertical="center"/>
    </xf>
    <xf numFmtId="184" fontId="14" fillId="10" borderId="13" xfId="0" applyNumberFormat="1" applyFont="1" applyFill="1" applyBorder="1" applyAlignment="1">
      <alignment horizontal="right" wrapText="1"/>
    </xf>
    <xf numFmtId="185" fontId="14" fillId="10" borderId="16" xfId="0" applyNumberFormat="1" applyFont="1" applyFill="1" applyBorder="1" applyAlignment="1">
      <alignment horizontal="justify" wrapText="1"/>
    </xf>
    <xf numFmtId="0" fontId="14" fillId="10" borderId="22" xfId="0" applyFont="1" applyFill="1" applyBorder="1">
      <alignment vertical="center"/>
    </xf>
    <xf numFmtId="0" fontId="14" fillId="10" borderId="0" xfId="0" applyFont="1" applyFill="1" applyBorder="1">
      <alignment vertical="center"/>
    </xf>
    <xf numFmtId="1" fontId="14" fillId="10" borderId="0" xfId="0" applyNumberFormat="1" applyFont="1" applyFill="1" applyBorder="1" applyAlignment="1">
      <alignment horizontal="right" wrapText="1"/>
    </xf>
    <xf numFmtId="0" fontId="20" fillId="10" borderId="10" xfId="0" applyFont="1" applyFill="1" applyBorder="1" applyAlignment="1">
      <alignment horizontal="justify" vertical="top" wrapText="1"/>
    </xf>
    <xf numFmtId="0" fontId="20" fillId="10" borderId="21" xfId="0" applyFont="1" applyFill="1" applyBorder="1" applyAlignment="1">
      <alignment horizontal="justify" vertical="top" wrapText="1"/>
    </xf>
    <xf numFmtId="0" fontId="20" fillId="10" borderId="13" xfId="0" applyFont="1" applyFill="1" applyBorder="1" applyAlignment="1">
      <alignment horizontal="left" vertical="top" wrapText="1"/>
    </xf>
    <xf numFmtId="0" fontId="20" fillId="10" borderId="22" xfId="0" quotePrefix="1" applyFont="1" applyFill="1" applyBorder="1" applyAlignment="1">
      <alignment horizontal="left" vertical="center"/>
    </xf>
    <xf numFmtId="0" fontId="20" fillId="10" borderId="22" xfId="0" applyFont="1" applyFill="1" applyBorder="1" applyAlignment="1">
      <alignment horizontal="left" vertical="center"/>
    </xf>
    <xf numFmtId="0" fontId="14" fillId="10" borderId="22" xfId="0" applyFont="1" applyFill="1" applyBorder="1" applyAlignment="1">
      <alignment horizontal="left" vertical="center"/>
    </xf>
    <xf numFmtId="10" fontId="14" fillId="10" borderId="22" xfId="0" applyNumberFormat="1" applyFont="1" applyFill="1" applyBorder="1" applyAlignment="1">
      <alignment horizontal="right" vertical="top" wrapText="1"/>
    </xf>
    <xf numFmtId="0" fontId="20" fillId="10" borderId="0" xfId="0" quotePrefix="1" applyFont="1" applyFill="1" applyBorder="1" applyAlignment="1">
      <alignment horizontal="left" vertical="center"/>
    </xf>
    <xf numFmtId="0" fontId="20" fillId="10" borderId="0" xfId="0" applyFont="1" applyFill="1" applyBorder="1" applyAlignment="1">
      <alignment horizontal="left" vertical="center"/>
    </xf>
    <xf numFmtId="0" fontId="14" fillId="10" borderId="0" xfId="0" applyFont="1" applyFill="1" applyBorder="1" applyAlignment="1">
      <alignment horizontal="left" vertical="center"/>
    </xf>
    <xf numFmtId="0" fontId="14" fillId="10" borderId="0" xfId="0" applyFont="1" applyFill="1" applyBorder="1" applyAlignment="1">
      <alignment horizontal="right" vertical="center"/>
    </xf>
    <xf numFmtId="10" fontId="14" fillId="10" borderId="0" xfId="1" applyNumberFormat="1" applyFont="1" applyFill="1" applyBorder="1" applyAlignment="1">
      <alignment horizontal="left" vertical="center"/>
    </xf>
    <xf numFmtId="185" fontId="14" fillId="10" borderId="51" xfId="0" applyNumberFormat="1" applyFont="1" applyFill="1" applyBorder="1" applyAlignment="1" applyProtection="1">
      <alignment horizontal="center" vertical="center" wrapText="1"/>
    </xf>
    <xf numFmtId="1" fontId="14" fillId="0" borderId="0" xfId="0" applyNumberFormat="1" applyFont="1">
      <alignment vertical="center"/>
    </xf>
    <xf numFmtId="204" fontId="14" fillId="5" borderId="37" xfId="0" applyNumberFormat="1" applyFont="1" applyFill="1" applyBorder="1" applyAlignment="1" applyProtection="1">
      <alignment horizontal="center" vertical="center" wrapText="1"/>
      <protection locked="0"/>
    </xf>
    <xf numFmtId="0" fontId="14" fillId="0" borderId="35" xfId="0" applyFont="1" applyBorder="1" applyAlignment="1" applyProtection="1">
      <alignment horizontal="center" vertical="center" wrapText="1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51" xfId="0" applyFont="1" applyFill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  <protection locked="0"/>
    </xf>
    <xf numFmtId="0" fontId="14" fillId="10" borderId="35" xfId="0" applyFont="1" applyFill="1" applyBorder="1" applyAlignment="1" applyProtection="1">
      <alignment horizontal="center" vertical="center"/>
    </xf>
    <xf numFmtId="0" fontId="14" fillId="10" borderId="35" xfId="0" applyFont="1" applyFill="1" applyBorder="1" applyAlignment="1" applyProtection="1">
      <alignment horizontal="left" vertical="center"/>
    </xf>
    <xf numFmtId="0" fontId="14" fillId="10" borderId="35" xfId="0" applyFont="1" applyFill="1" applyBorder="1" applyAlignment="1" applyProtection="1">
      <alignment horizontal="center" vertical="center"/>
      <protection locked="0"/>
    </xf>
    <xf numFmtId="182" fontId="14" fillId="10" borderId="35" xfId="0" applyNumberFormat="1" applyFont="1" applyFill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</xf>
    <xf numFmtId="0" fontId="14" fillId="0" borderId="0" xfId="0" applyFont="1" applyAlignment="1" applyProtection="1">
      <alignment horizontal="left" vertical="center"/>
      <protection locked="0"/>
    </xf>
    <xf numFmtId="0" fontId="14" fillId="12" borderId="35" xfId="0" applyFont="1" applyFill="1" applyBorder="1" applyAlignment="1" applyProtection="1">
      <alignment horizontal="center" vertical="center"/>
    </xf>
    <xf numFmtId="180" fontId="14" fillId="12" borderId="35" xfId="0" applyNumberFormat="1" applyFont="1" applyFill="1" applyBorder="1" applyAlignment="1" applyProtection="1">
      <alignment horizontal="center" vertical="center" wrapText="1"/>
      <protection locked="0"/>
    </xf>
    <xf numFmtId="185" fontId="14" fillId="12" borderId="35" xfId="0" applyNumberFormat="1" applyFont="1" applyFill="1" applyBorder="1" applyAlignment="1" applyProtection="1">
      <alignment horizontal="center" vertical="center" wrapText="1"/>
      <protection locked="0"/>
    </xf>
    <xf numFmtId="0" fontId="20" fillId="12" borderId="10" xfId="0" applyFont="1" applyFill="1" applyBorder="1">
      <alignment vertical="center"/>
    </xf>
    <xf numFmtId="185" fontId="14" fillId="12" borderId="10" xfId="0" applyNumberFormat="1" applyFont="1" applyFill="1" applyBorder="1" applyAlignment="1">
      <alignment horizontal="center" vertical="center"/>
    </xf>
    <xf numFmtId="0" fontId="20" fillId="12" borderId="21" xfId="0" applyFont="1" applyFill="1" applyBorder="1">
      <alignment vertical="center"/>
    </xf>
    <xf numFmtId="0" fontId="20" fillId="12" borderId="13" xfId="0" applyFont="1" applyFill="1" applyBorder="1">
      <alignment vertical="center"/>
    </xf>
    <xf numFmtId="185" fontId="20" fillId="12" borderId="13" xfId="0" applyNumberFormat="1" applyFont="1" applyFill="1" applyBorder="1" applyAlignment="1">
      <alignment horizontal="center" vertical="center"/>
    </xf>
    <xf numFmtId="204" fontId="14" fillId="13" borderId="35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35" xfId="0" applyFont="1" applyBorder="1" applyAlignment="1" applyProtection="1">
      <alignment horizontal="center" vertical="center"/>
    </xf>
    <xf numFmtId="180" fontId="20" fillId="5" borderId="35" xfId="1" applyNumberFormat="1" applyFont="1" applyFill="1" applyBorder="1" applyAlignment="1" applyProtection="1">
      <alignment horizontal="center" vertical="center"/>
      <protection locked="0"/>
    </xf>
    <xf numFmtId="191" fontId="14" fillId="14" borderId="10" xfId="0" applyNumberFormat="1" applyFont="1" applyFill="1" applyBorder="1" applyAlignment="1">
      <alignment horizontal="right" wrapText="1"/>
    </xf>
    <xf numFmtId="192" fontId="14" fillId="14" borderId="10" xfId="0" applyNumberFormat="1" applyFont="1" applyFill="1" applyBorder="1" applyAlignment="1">
      <alignment horizontal="right" wrapText="1"/>
    </xf>
    <xf numFmtId="10" fontId="14" fillId="0" borderId="21" xfId="0" applyNumberFormat="1" applyFont="1" applyBorder="1" applyAlignment="1">
      <alignment horizontal="center" vertical="center"/>
    </xf>
    <xf numFmtId="185" fontId="14" fillId="14" borderId="35" xfId="0" applyNumberFormat="1" applyFont="1" applyFill="1" applyBorder="1" applyAlignment="1" applyProtection="1">
      <alignment horizontal="center" vertical="center" wrapText="1"/>
      <protection locked="0"/>
    </xf>
    <xf numFmtId="185" fontId="14" fillId="14" borderId="37" xfId="0" applyNumberFormat="1" applyFont="1" applyFill="1" applyBorder="1" applyAlignment="1" applyProtection="1">
      <alignment horizontal="center" vertical="center" wrapText="1"/>
    </xf>
    <xf numFmtId="0" fontId="14" fillId="14" borderId="35" xfId="0" applyFont="1" applyFill="1" applyBorder="1" applyAlignment="1" applyProtection="1">
      <alignment horizontal="center" vertical="center"/>
      <protection locked="0"/>
    </xf>
    <xf numFmtId="0" fontId="14" fillId="0" borderId="52" xfId="0" applyFont="1" applyBorder="1" applyAlignment="1" applyProtection="1">
      <alignment horizontal="left" vertical="center" wrapText="1"/>
    </xf>
    <xf numFmtId="0" fontId="14" fillId="0" borderId="53" xfId="0" applyFont="1" applyBorder="1" applyAlignment="1" applyProtection="1">
      <alignment horizontal="left" vertical="center" wrapText="1"/>
    </xf>
    <xf numFmtId="0" fontId="14" fillId="0" borderId="54" xfId="0" applyFont="1" applyBorder="1" applyAlignment="1" applyProtection="1">
      <alignment horizontal="left" vertical="center" wrapText="1"/>
    </xf>
    <xf numFmtId="0" fontId="14" fillId="0" borderId="55" xfId="0" applyFont="1" applyBorder="1" applyAlignment="1" applyProtection="1">
      <alignment horizontal="left" vertical="center" wrapText="1"/>
    </xf>
    <xf numFmtId="0" fontId="14" fillId="0" borderId="56" xfId="0" applyFont="1" applyBorder="1" applyAlignment="1" applyProtection="1">
      <alignment horizontal="left" vertical="center" wrapText="1"/>
    </xf>
    <xf numFmtId="0" fontId="14" fillId="0" borderId="57" xfId="0" applyFont="1" applyBorder="1" applyAlignment="1" applyProtection="1">
      <alignment horizontal="left" vertical="center" wrapText="1"/>
    </xf>
    <xf numFmtId="0" fontId="14" fillId="0" borderId="51" xfId="0" applyFont="1" applyBorder="1" applyAlignment="1" applyProtection="1">
      <alignment horizontal="center" vertical="center" wrapText="1"/>
    </xf>
    <xf numFmtId="0" fontId="14" fillId="0" borderId="37" xfId="0" applyFont="1" applyBorder="1" applyAlignment="1" applyProtection="1">
      <alignment horizontal="center" vertical="center" wrapText="1"/>
    </xf>
    <xf numFmtId="0" fontId="14" fillId="0" borderId="51" xfId="0" applyFont="1" applyBorder="1" applyAlignment="1" applyProtection="1">
      <alignment horizontal="center" vertical="center"/>
    </xf>
    <xf numFmtId="0" fontId="14" fillId="0" borderId="37" xfId="0" applyFont="1" applyBorder="1" applyAlignment="1" applyProtection="1">
      <alignment horizontal="center" vertical="center"/>
    </xf>
    <xf numFmtId="0" fontId="14" fillId="0" borderId="58" xfId="0" applyFont="1" applyBorder="1" applyAlignment="1" applyProtection="1">
      <alignment horizontal="left" vertical="center" wrapText="1"/>
    </xf>
    <xf numFmtId="0" fontId="14" fillId="0" borderId="35" xfId="0" applyFont="1" applyBorder="1" applyAlignment="1" applyProtection="1">
      <alignment horizontal="left" vertical="center" wrapText="1"/>
    </xf>
    <xf numFmtId="0" fontId="69" fillId="0" borderId="35" xfId="0" applyFont="1" applyBorder="1" applyAlignment="1" applyProtection="1">
      <alignment horizontal="left" vertical="center" wrapText="1"/>
    </xf>
    <xf numFmtId="0" fontId="14" fillId="0" borderId="37" xfId="0" applyFont="1" applyBorder="1" applyAlignment="1" applyProtection="1">
      <alignment horizontal="left" vertical="center" wrapText="1"/>
    </xf>
    <xf numFmtId="0" fontId="67" fillId="11" borderId="35" xfId="0" applyFont="1" applyFill="1" applyBorder="1" applyAlignment="1" applyProtection="1">
      <alignment horizontal="center" vertical="center" wrapText="1"/>
    </xf>
    <xf numFmtId="0" fontId="67" fillId="11" borderId="35" xfId="0" applyFont="1" applyFill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left" vertical="center"/>
    </xf>
    <xf numFmtId="0" fontId="69" fillId="0" borderId="37" xfId="0" applyFont="1" applyBorder="1" applyAlignment="1" applyProtection="1">
      <alignment horizontal="left" vertical="center" wrapText="1"/>
    </xf>
    <xf numFmtId="0" fontId="18" fillId="0" borderId="0" xfId="0" applyFont="1" applyAlignment="1">
      <alignment horizontal="left" vertical="center"/>
    </xf>
    <xf numFmtId="0" fontId="35" fillId="0" borderId="56" xfId="0" applyFont="1" applyBorder="1" applyAlignment="1">
      <alignment horizontal="center" vertical="center"/>
    </xf>
    <xf numFmtId="0" fontId="17" fillId="0" borderId="0" xfId="0" quotePrefix="1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20" fillId="0" borderId="19" xfId="0" quotePrefix="1" applyFon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0" fillId="0" borderId="38" xfId="0" applyFont="1" applyBorder="1" applyAlignment="1">
      <alignment horizontal="center" vertical="center"/>
    </xf>
    <xf numFmtId="0" fontId="14" fillId="0" borderId="11" xfId="0" applyFont="1" applyBorder="1" applyAlignment="1">
      <alignment horizontal="center" vertical="center"/>
    </xf>
    <xf numFmtId="0" fontId="20" fillId="0" borderId="17" xfId="0" quotePrefix="1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0" fontId="20" fillId="0" borderId="14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8" fillId="0" borderId="50" xfId="0" applyFont="1" applyBorder="1" applyAlignment="1">
      <alignment horizontal="left" vertical="center"/>
    </xf>
    <xf numFmtId="0" fontId="18" fillId="0" borderId="0" xfId="0" quotePrefix="1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32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top" wrapText="1"/>
    </xf>
    <xf numFmtId="0" fontId="17" fillId="0" borderId="0" xfId="0" applyFont="1" applyAlignment="1">
      <alignment horizontal="left" vertical="center"/>
    </xf>
    <xf numFmtId="0" fontId="20" fillId="10" borderId="17" xfId="0" quotePrefix="1" applyFont="1" applyFill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62" fillId="10" borderId="19" xfId="0" applyFont="1" applyFill="1" applyBorder="1" applyAlignment="1">
      <alignment vertical="center"/>
    </xf>
    <xf numFmtId="0" fontId="62" fillId="10" borderId="43" xfId="0" applyFont="1" applyFill="1" applyBorder="1" applyAlignment="1">
      <alignment vertical="center"/>
    </xf>
    <xf numFmtId="186" fontId="20" fillId="10" borderId="14" xfId="0" applyNumberFormat="1" applyFont="1" applyFill="1" applyBorder="1" applyAlignment="1">
      <alignment horizontal="center" vertical="center" wrapText="1"/>
    </xf>
    <xf numFmtId="186" fontId="20" fillId="10" borderId="15" xfId="0" applyNumberFormat="1" applyFont="1" applyFill="1" applyBorder="1" applyAlignment="1">
      <alignment horizontal="center" vertical="center" wrapText="1"/>
    </xf>
    <xf numFmtId="0" fontId="0" fillId="0" borderId="43" xfId="0" applyBorder="1" applyAlignment="1">
      <alignment vertical="center"/>
    </xf>
    <xf numFmtId="0" fontId="20" fillId="10" borderId="38" xfId="0" applyFont="1" applyFill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0" fillId="10" borderId="19" xfId="0" quotePrefix="1" applyFont="1" applyFill="1" applyBorder="1" applyAlignment="1">
      <alignment horizontal="center" vertical="center"/>
    </xf>
    <xf numFmtId="0" fontId="0" fillId="10" borderId="43" xfId="0" applyFill="1" applyBorder="1" applyAlignment="1">
      <alignment vertical="center"/>
    </xf>
    <xf numFmtId="0" fontId="0" fillId="10" borderId="46" xfId="0" applyFill="1" applyBorder="1" applyAlignment="1">
      <alignment vertical="center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7" fillId="10" borderId="19" xfId="0" applyFont="1" applyFill="1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81" fontId="6" fillId="10" borderId="38" xfId="0" applyNumberFormat="1" applyFont="1" applyFill="1" applyBorder="1" applyAlignment="1">
      <alignment horizontal="center" vertical="center" wrapText="1"/>
    </xf>
    <xf numFmtId="181" fontId="6" fillId="10" borderId="11" xfId="0" applyNumberFormat="1" applyFont="1" applyFill="1" applyBorder="1" applyAlignment="1">
      <alignment horizontal="center" vertical="center" wrapText="1"/>
    </xf>
    <xf numFmtId="0" fontId="6" fillId="10" borderId="17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28" fillId="0" borderId="59" xfId="0" quotePrefix="1" applyFont="1" applyBorder="1" applyAlignment="1">
      <alignment horizontal="center" vertical="center"/>
    </xf>
    <xf numFmtId="0" fontId="28" fillId="0" borderId="60" xfId="0" quotePrefix="1" applyFont="1" applyBorder="1" applyAlignment="1">
      <alignment horizontal="center" vertical="center"/>
    </xf>
    <xf numFmtId="0" fontId="28" fillId="0" borderId="61" xfId="0" quotePrefix="1" applyFont="1" applyBorder="1" applyAlignment="1">
      <alignment horizontal="center" vertical="center"/>
    </xf>
  </cellXfs>
  <cellStyles count="21">
    <cellStyle name="百分比" xfId="1" builtinId="5"/>
    <cellStyle name="标题" xfId="2" builtinId="15" customBuiltin="1"/>
    <cellStyle name="标题 1" xfId="3" builtinId="16" customBuiltin="1"/>
    <cellStyle name="标题 2" xfId="4" builtinId="17" customBuiltin="1"/>
    <cellStyle name="标题 3" xfId="5" builtinId="18" customBuiltin="1"/>
    <cellStyle name="标题 4" xfId="6" builtinId="19" customBuiltin="1"/>
    <cellStyle name="差" xfId="7" builtinId="27" customBuiltin="1"/>
    <cellStyle name="常规" xfId="0" builtinId="0"/>
    <cellStyle name="常规_韶关经济分析1122（基本方案）" xfId="8" xr:uid="{4D855BC1-0B0A-466B-BCAA-00D4F7EB4E45}"/>
    <cellStyle name="好" xfId="9" builtinId="26" customBuiltin="1"/>
    <cellStyle name="汇总" xfId="10" builtinId="25" customBuiltin="1"/>
    <cellStyle name="计算" xfId="11" builtinId="22" customBuiltin="1"/>
    <cellStyle name="检查单元格" xfId="12" builtinId="23" customBuiltin="1"/>
    <cellStyle name="解释性文本" xfId="13" builtinId="53" customBuiltin="1"/>
    <cellStyle name="警告文本" xfId="14" builtinId="11" customBuiltin="1"/>
    <cellStyle name="链接单元格" xfId="15" builtinId="24" customBuiltin="1"/>
    <cellStyle name="千位分隔" xfId="16" builtinId="3"/>
    <cellStyle name="适中" xfId="17" builtinId="28" customBuiltin="1"/>
    <cellStyle name="输出" xfId="18" builtinId="21" customBuiltin="1"/>
    <cellStyle name="输入" xfId="19" builtinId="20" customBuiltin="1"/>
    <cellStyle name="注释" xfId="20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EE161-FBA7-4B58-B997-9F4AB15EE328}">
  <dimension ref="A1:W66"/>
  <sheetViews>
    <sheetView tabSelected="1" workbookViewId="0">
      <selection activeCell="C3" sqref="C3"/>
    </sheetView>
  </sheetViews>
  <sheetFormatPr defaultColWidth="9" defaultRowHeight="22.95" customHeight="1" x14ac:dyDescent="0.3"/>
  <cols>
    <col min="1" max="1" width="5.2109375" style="454" bestFit="1" customWidth="1"/>
    <col min="2" max="2" width="47.85546875" style="454" customWidth="1"/>
    <col min="3" max="3" width="9.7109375" style="447" bestFit="1" customWidth="1"/>
    <col min="4" max="4" width="9" style="447"/>
    <col min="5" max="11" width="9" style="455"/>
    <col min="12" max="12" width="25.7109375" style="455" customWidth="1"/>
    <col min="13" max="16384" width="9" style="447"/>
  </cols>
  <sheetData>
    <row r="1" spans="1:23" ht="22.95" customHeight="1" x14ac:dyDescent="0.3">
      <c r="A1" s="261" t="s">
        <v>366</v>
      </c>
      <c r="B1" s="261" t="s">
        <v>367</v>
      </c>
      <c r="C1" s="446" t="s">
        <v>368</v>
      </c>
      <c r="D1" s="261" t="s">
        <v>369</v>
      </c>
      <c r="E1" s="489" t="s">
        <v>370</v>
      </c>
      <c r="F1" s="489"/>
      <c r="G1" s="489"/>
      <c r="H1" s="489"/>
      <c r="I1" s="489"/>
      <c r="J1" s="489"/>
      <c r="K1" s="489"/>
      <c r="L1" s="489"/>
    </row>
    <row r="2" spans="1:23" ht="22.95" customHeight="1" x14ac:dyDescent="0.3">
      <c r="A2" s="261">
        <v>1</v>
      </c>
      <c r="B2" s="261" t="s">
        <v>371</v>
      </c>
      <c r="C2" s="472">
        <v>2</v>
      </c>
      <c r="D2" s="261" t="s">
        <v>372</v>
      </c>
      <c r="E2" s="484" t="s">
        <v>373</v>
      </c>
      <c r="F2" s="484"/>
      <c r="G2" s="484"/>
      <c r="H2" s="484"/>
      <c r="I2" s="484"/>
      <c r="J2" s="484"/>
      <c r="K2" s="484"/>
      <c r="L2" s="484"/>
    </row>
    <row r="3" spans="1:23" ht="22.95" customHeight="1" x14ac:dyDescent="0.3">
      <c r="A3" s="261">
        <v>2</v>
      </c>
      <c r="B3" s="261" t="s">
        <v>374</v>
      </c>
      <c r="C3" s="470">
        <v>2431</v>
      </c>
      <c r="D3" s="261" t="s">
        <v>375</v>
      </c>
      <c r="E3" s="485" t="s">
        <v>461</v>
      </c>
      <c r="F3" s="484"/>
      <c r="G3" s="484"/>
      <c r="H3" s="484"/>
      <c r="I3" s="484"/>
      <c r="J3" s="484"/>
      <c r="K3" s="484"/>
      <c r="L3" s="484"/>
    </row>
    <row r="4" spans="1:23" ht="22.95" customHeight="1" x14ac:dyDescent="0.3">
      <c r="A4" s="261">
        <v>3</v>
      </c>
      <c r="B4" s="261" t="s">
        <v>376</v>
      </c>
      <c r="C4" s="245">
        <v>2020</v>
      </c>
      <c r="D4" s="245">
        <v>2021</v>
      </c>
      <c r="E4" s="245">
        <v>2022</v>
      </c>
      <c r="F4" s="245">
        <v>2023</v>
      </c>
      <c r="G4" s="245">
        <v>2024</v>
      </c>
      <c r="H4" s="245">
        <v>2025</v>
      </c>
      <c r="I4" s="245">
        <v>2026</v>
      </c>
      <c r="J4" s="245">
        <v>2027</v>
      </c>
      <c r="K4" s="245">
        <v>2028</v>
      </c>
      <c r="L4" s="245">
        <v>2029</v>
      </c>
      <c r="M4" s="245">
        <v>2030</v>
      </c>
      <c r="N4" s="245">
        <v>2031</v>
      </c>
      <c r="O4" s="245">
        <v>2032</v>
      </c>
      <c r="P4" s="245">
        <v>2033</v>
      </c>
      <c r="Q4" s="245">
        <v>2034</v>
      </c>
      <c r="R4" s="245">
        <v>2035</v>
      </c>
      <c r="S4" s="245">
        <v>2036</v>
      </c>
      <c r="T4" s="245">
        <v>2037</v>
      </c>
      <c r="U4" s="245">
        <v>2038</v>
      </c>
      <c r="V4" s="245">
        <v>2039</v>
      </c>
      <c r="W4" s="245">
        <v>2040</v>
      </c>
    </row>
    <row r="5" spans="1:23" s="362" customFormat="1" ht="22.95" customHeight="1" x14ac:dyDescent="0.3">
      <c r="A5" s="261">
        <v>5</v>
      </c>
      <c r="B5" s="261" t="s">
        <v>377</v>
      </c>
      <c r="C5" s="245">
        <v>0</v>
      </c>
      <c r="D5" s="361">
        <v>1</v>
      </c>
      <c r="E5" s="361">
        <v>1</v>
      </c>
      <c r="F5" s="361">
        <v>1</v>
      </c>
      <c r="G5" s="361">
        <v>1</v>
      </c>
      <c r="H5" s="361">
        <v>1</v>
      </c>
      <c r="I5" s="361">
        <v>1</v>
      </c>
      <c r="J5" s="361">
        <v>1</v>
      </c>
      <c r="K5" s="361">
        <v>1</v>
      </c>
      <c r="L5" s="361">
        <v>1</v>
      </c>
      <c r="M5" s="361">
        <v>1</v>
      </c>
      <c r="N5" s="361">
        <v>1</v>
      </c>
      <c r="O5" s="361">
        <v>1</v>
      </c>
      <c r="P5" s="361">
        <v>1</v>
      </c>
      <c r="Q5" s="361">
        <v>1</v>
      </c>
      <c r="R5" s="361">
        <v>1</v>
      </c>
      <c r="S5" s="361">
        <v>1</v>
      </c>
      <c r="T5" s="361">
        <v>1</v>
      </c>
      <c r="U5" s="361">
        <v>1</v>
      </c>
      <c r="V5" s="361">
        <v>1</v>
      </c>
      <c r="W5" s="361">
        <v>1</v>
      </c>
    </row>
    <row r="6" spans="1:23" ht="34.200000000000003" customHeight="1" x14ac:dyDescent="0.3">
      <c r="A6" s="261">
        <v>7</v>
      </c>
      <c r="B6" s="261" t="s">
        <v>378</v>
      </c>
      <c r="C6" s="464">
        <f>C7+C8</f>
        <v>0.42099999999999999</v>
      </c>
      <c r="D6" s="261" t="s">
        <v>379</v>
      </c>
      <c r="E6" s="485" t="s">
        <v>464</v>
      </c>
      <c r="F6" s="484"/>
      <c r="G6" s="484"/>
      <c r="H6" s="484"/>
      <c r="I6" s="484"/>
      <c r="J6" s="484"/>
      <c r="K6" s="484"/>
      <c r="L6" s="484"/>
    </row>
    <row r="7" spans="1:23" ht="31.5" customHeight="1" x14ac:dyDescent="0.3">
      <c r="A7" s="261">
        <v>7.1</v>
      </c>
      <c r="B7" s="261" t="s">
        <v>380</v>
      </c>
      <c r="C7" s="445">
        <v>0.41099999999999998</v>
      </c>
      <c r="D7" s="261" t="s">
        <v>379</v>
      </c>
      <c r="E7" s="485" t="s">
        <v>463</v>
      </c>
      <c r="F7" s="484"/>
      <c r="G7" s="484"/>
      <c r="H7" s="484"/>
      <c r="I7" s="484"/>
      <c r="J7" s="484"/>
      <c r="K7" s="484"/>
      <c r="L7" s="484"/>
    </row>
    <row r="8" spans="1:23" ht="26.5" customHeight="1" x14ac:dyDescent="0.3">
      <c r="A8" s="261">
        <v>7.2</v>
      </c>
      <c r="B8" s="261" t="s">
        <v>381</v>
      </c>
      <c r="C8" s="445">
        <v>0.01</v>
      </c>
      <c r="D8" s="261" t="s">
        <v>379</v>
      </c>
      <c r="E8" s="484" t="s">
        <v>462</v>
      </c>
      <c r="F8" s="484"/>
      <c r="G8" s="484"/>
      <c r="H8" s="484"/>
      <c r="I8" s="484"/>
      <c r="J8" s="484"/>
      <c r="K8" s="484"/>
      <c r="L8" s="484"/>
    </row>
    <row r="9" spans="1:23" ht="22.95" customHeight="1" x14ac:dyDescent="0.3">
      <c r="A9" s="481">
        <v>7.3</v>
      </c>
      <c r="B9" s="481" t="s">
        <v>382</v>
      </c>
      <c r="C9" s="261">
        <f>C4</f>
        <v>2020</v>
      </c>
      <c r="D9" s="261">
        <f t="shared" ref="D9:W9" si="0">D4</f>
        <v>2021</v>
      </c>
      <c r="E9" s="261">
        <f t="shared" si="0"/>
        <v>2022</v>
      </c>
      <c r="F9" s="261">
        <f t="shared" si="0"/>
        <v>2023</v>
      </c>
      <c r="G9" s="261">
        <f t="shared" si="0"/>
        <v>2024</v>
      </c>
      <c r="H9" s="261">
        <f t="shared" si="0"/>
        <v>2025</v>
      </c>
      <c r="I9" s="261">
        <f t="shared" si="0"/>
        <v>2026</v>
      </c>
      <c r="J9" s="261">
        <f t="shared" si="0"/>
        <v>2027</v>
      </c>
      <c r="K9" s="261">
        <f t="shared" si="0"/>
        <v>2028</v>
      </c>
      <c r="L9" s="261">
        <f t="shared" si="0"/>
        <v>2029</v>
      </c>
      <c r="M9" s="261">
        <f t="shared" si="0"/>
        <v>2030</v>
      </c>
      <c r="N9" s="261">
        <f t="shared" si="0"/>
        <v>2031</v>
      </c>
      <c r="O9" s="261">
        <f t="shared" si="0"/>
        <v>2032</v>
      </c>
      <c r="P9" s="261">
        <f t="shared" si="0"/>
        <v>2033</v>
      </c>
      <c r="Q9" s="261">
        <f t="shared" si="0"/>
        <v>2034</v>
      </c>
      <c r="R9" s="261">
        <f t="shared" si="0"/>
        <v>2035</v>
      </c>
      <c r="S9" s="261">
        <f t="shared" si="0"/>
        <v>2036</v>
      </c>
      <c r="T9" s="261">
        <f t="shared" si="0"/>
        <v>2037</v>
      </c>
      <c r="U9" s="261">
        <f t="shared" si="0"/>
        <v>2038</v>
      </c>
      <c r="V9" s="261">
        <f t="shared" si="0"/>
        <v>2039</v>
      </c>
      <c r="W9" s="261">
        <f t="shared" si="0"/>
        <v>2040</v>
      </c>
    </row>
    <row r="10" spans="1:23" ht="22.95" customHeight="1" x14ac:dyDescent="0.3">
      <c r="A10" s="482"/>
      <c r="B10" s="482"/>
      <c r="C10" s="445"/>
      <c r="D10" s="361">
        <v>0</v>
      </c>
      <c r="E10" s="361">
        <v>2</v>
      </c>
      <c r="F10" s="361">
        <v>1</v>
      </c>
      <c r="G10" s="361">
        <v>1</v>
      </c>
      <c r="H10" s="361">
        <v>1</v>
      </c>
      <c r="I10" s="361">
        <v>1</v>
      </c>
      <c r="J10" s="361">
        <v>1</v>
      </c>
      <c r="K10" s="361">
        <v>1</v>
      </c>
      <c r="L10" s="361">
        <v>1</v>
      </c>
      <c r="M10" s="361">
        <v>1</v>
      </c>
      <c r="N10" s="361">
        <v>1</v>
      </c>
      <c r="O10" s="361">
        <v>1</v>
      </c>
      <c r="P10" s="361">
        <v>1</v>
      </c>
      <c r="Q10" s="361">
        <v>1</v>
      </c>
      <c r="R10" s="361">
        <v>1</v>
      </c>
      <c r="S10" s="361">
        <v>1</v>
      </c>
      <c r="T10" s="361">
        <v>1</v>
      </c>
      <c r="U10" s="361">
        <v>1</v>
      </c>
      <c r="V10" s="361">
        <v>1</v>
      </c>
      <c r="W10" s="361">
        <v>1</v>
      </c>
    </row>
    <row r="11" spans="1:23" ht="22.95" customHeight="1" x14ac:dyDescent="0.3">
      <c r="A11" s="261">
        <v>8</v>
      </c>
      <c r="B11" s="261" t="s">
        <v>383</v>
      </c>
      <c r="C11" s="471">
        <f>C12+C13+C14+C17</f>
        <v>42440</v>
      </c>
      <c r="D11" s="261" t="s">
        <v>384</v>
      </c>
      <c r="E11" s="490" t="s">
        <v>458</v>
      </c>
      <c r="F11" s="486"/>
      <c r="G11" s="486"/>
      <c r="H11" s="486"/>
      <c r="I11" s="486"/>
      <c r="J11" s="486"/>
      <c r="K11" s="486"/>
      <c r="L11" s="486"/>
    </row>
    <row r="12" spans="1:23" ht="22.95" customHeight="1" x14ac:dyDescent="0.3">
      <c r="A12" s="261">
        <v>8.1</v>
      </c>
      <c r="B12" s="261" t="s">
        <v>385</v>
      </c>
      <c r="C12" s="470">
        <v>20000</v>
      </c>
      <c r="D12" s="261" t="s">
        <v>384</v>
      </c>
      <c r="E12" s="485" t="s">
        <v>465</v>
      </c>
      <c r="F12" s="484"/>
      <c r="G12" s="484"/>
      <c r="H12" s="484"/>
      <c r="I12" s="484"/>
      <c r="J12" s="484"/>
      <c r="K12" s="484"/>
      <c r="L12" s="484"/>
    </row>
    <row r="13" spans="1:23" ht="22.95" customHeight="1" x14ac:dyDescent="0.3">
      <c r="A13" s="261">
        <v>8.1999999999999993</v>
      </c>
      <c r="B13" s="261" t="s">
        <v>386</v>
      </c>
      <c r="C13" s="470">
        <v>20000</v>
      </c>
      <c r="D13" s="261" t="s">
        <v>384</v>
      </c>
      <c r="E13" s="485" t="s">
        <v>465</v>
      </c>
      <c r="F13" s="484"/>
      <c r="G13" s="484"/>
      <c r="H13" s="484"/>
      <c r="I13" s="484"/>
      <c r="J13" s="484"/>
      <c r="K13" s="484"/>
      <c r="L13" s="484"/>
    </row>
    <row r="14" spans="1:23" ht="22.95" customHeight="1" x14ac:dyDescent="0.3">
      <c r="A14" s="261">
        <v>8.3000000000000007</v>
      </c>
      <c r="B14" s="261" t="s">
        <v>387</v>
      </c>
      <c r="C14" s="470">
        <v>2000</v>
      </c>
      <c r="D14" s="261" t="s">
        <v>384</v>
      </c>
      <c r="E14" s="485" t="s">
        <v>465</v>
      </c>
      <c r="F14" s="484"/>
      <c r="G14" s="484"/>
      <c r="H14" s="484"/>
      <c r="I14" s="484"/>
      <c r="J14" s="484"/>
      <c r="K14" s="484"/>
      <c r="L14" s="484"/>
    </row>
    <row r="15" spans="1:23" ht="37.950000000000003" customHeight="1" x14ac:dyDescent="0.3">
      <c r="A15" s="261" t="s">
        <v>338</v>
      </c>
      <c r="B15" s="261" t="s">
        <v>388</v>
      </c>
      <c r="C15" s="470">
        <v>500</v>
      </c>
      <c r="D15" s="261" t="s">
        <v>384</v>
      </c>
      <c r="E15" s="485" t="s">
        <v>466</v>
      </c>
      <c r="F15" s="484"/>
      <c r="G15" s="484"/>
      <c r="H15" s="484"/>
      <c r="I15" s="484"/>
      <c r="J15" s="484"/>
      <c r="K15" s="484"/>
      <c r="L15" s="484"/>
    </row>
    <row r="16" spans="1:23" ht="22.95" customHeight="1" x14ac:dyDescent="0.3">
      <c r="A16" s="261" t="s">
        <v>339</v>
      </c>
      <c r="B16" s="261" t="s">
        <v>389</v>
      </c>
      <c r="C16" s="470">
        <v>200</v>
      </c>
      <c r="D16" s="261" t="s">
        <v>384</v>
      </c>
      <c r="E16" s="485" t="s">
        <v>467</v>
      </c>
      <c r="F16" s="484"/>
      <c r="G16" s="484"/>
      <c r="H16" s="484"/>
      <c r="I16" s="484"/>
      <c r="J16" s="484"/>
      <c r="K16" s="484"/>
      <c r="L16" s="484"/>
    </row>
    <row r="17" spans="1:12" ht="22.95" customHeight="1" x14ac:dyDescent="0.3">
      <c r="A17" s="261">
        <v>8.4</v>
      </c>
      <c r="B17" s="261" t="s">
        <v>390</v>
      </c>
      <c r="C17" s="470">
        <v>440</v>
      </c>
      <c r="D17" s="261" t="s">
        <v>384</v>
      </c>
      <c r="E17" s="485" t="s">
        <v>468</v>
      </c>
      <c r="F17" s="484"/>
      <c r="G17" s="484"/>
      <c r="H17" s="484"/>
      <c r="I17" s="484"/>
      <c r="J17" s="484"/>
      <c r="K17" s="484"/>
      <c r="L17" s="484"/>
    </row>
    <row r="18" spans="1:12" ht="22.95" customHeight="1" x14ac:dyDescent="0.3">
      <c r="A18" s="261"/>
      <c r="B18" s="261" t="s">
        <v>391</v>
      </c>
      <c r="C18" s="247">
        <f>(C12+C13+C14+C17)/C2</f>
        <v>21220</v>
      </c>
      <c r="D18" s="364" t="s">
        <v>392</v>
      </c>
      <c r="E18" s="486" t="s">
        <v>458</v>
      </c>
      <c r="F18" s="486"/>
      <c r="G18" s="486"/>
      <c r="H18" s="486"/>
      <c r="I18" s="486"/>
      <c r="J18" s="486"/>
      <c r="K18" s="486"/>
      <c r="L18" s="486"/>
    </row>
    <row r="19" spans="1:12" ht="22.95" customHeight="1" x14ac:dyDescent="0.3">
      <c r="A19" s="261"/>
      <c r="B19" s="261" t="s">
        <v>393</v>
      </c>
      <c r="C19" s="247">
        <f>(C12+C13+C16)/C2</f>
        <v>20100</v>
      </c>
      <c r="D19" s="364" t="s">
        <v>392</v>
      </c>
      <c r="E19" s="486" t="s">
        <v>458</v>
      </c>
      <c r="F19" s="486"/>
      <c r="G19" s="486"/>
      <c r="H19" s="486"/>
      <c r="I19" s="486"/>
      <c r="J19" s="486"/>
      <c r="K19" s="486"/>
      <c r="L19" s="486"/>
    </row>
    <row r="20" spans="1:12" ht="22.95" customHeight="1" x14ac:dyDescent="0.3">
      <c r="A20" s="261">
        <v>8.5</v>
      </c>
      <c r="B20" s="261" t="s">
        <v>394</v>
      </c>
      <c r="C20" s="247">
        <f>C12/(1+C21)*C21+C13/(1+C22)*C22+C16/(1+C23)*C23</f>
        <v>3963.5818572581848</v>
      </c>
      <c r="D20" s="364" t="s">
        <v>384</v>
      </c>
      <c r="E20" s="486" t="s">
        <v>459</v>
      </c>
      <c r="F20" s="486"/>
      <c r="G20" s="486"/>
      <c r="H20" s="486"/>
      <c r="I20" s="486"/>
      <c r="J20" s="486"/>
      <c r="K20" s="486"/>
      <c r="L20" s="486"/>
    </row>
    <row r="21" spans="1:12" ht="22.95" customHeight="1" x14ac:dyDescent="0.3">
      <c r="A21" s="261" t="s">
        <v>340</v>
      </c>
      <c r="B21" s="261" t="s">
        <v>395</v>
      </c>
      <c r="C21" s="248">
        <v>0.09</v>
      </c>
      <c r="D21" s="364"/>
      <c r="E21" s="484" t="s">
        <v>396</v>
      </c>
      <c r="F21" s="484"/>
      <c r="G21" s="484"/>
      <c r="H21" s="484"/>
      <c r="I21" s="484"/>
      <c r="J21" s="484"/>
      <c r="K21" s="484"/>
      <c r="L21" s="484"/>
    </row>
    <row r="22" spans="1:12" ht="22.95" customHeight="1" x14ac:dyDescent="0.3">
      <c r="A22" s="261" t="s">
        <v>341</v>
      </c>
      <c r="B22" s="261" t="s">
        <v>397</v>
      </c>
      <c r="C22" s="248">
        <v>0.13</v>
      </c>
      <c r="D22" s="364"/>
      <c r="E22" s="484" t="s">
        <v>396</v>
      </c>
      <c r="F22" s="484"/>
      <c r="G22" s="484"/>
      <c r="H22" s="484"/>
      <c r="I22" s="484"/>
      <c r="J22" s="484"/>
      <c r="K22" s="484"/>
      <c r="L22" s="484"/>
    </row>
    <row r="23" spans="1:12" ht="22.95" customHeight="1" x14ac:dyDescent="0.3">
      <c r="A23" s="261" t="s">
        <v>342</v>
      </c>
      <c r="B23" s="261" t="s">
        <v>398</v>
      </c>
      <c r="C23" s="248">
        <v>0.06</v>
      </c>
      <c r="D23" s="364"/>
      <c r="E23" s="484" t="s">
        <v>396</v>
      </c>
      <c r="F23" s="484"/>
      <c r="G23" s="484"/>
      <c r="H23" s="484"/>
      <c r="I23" s="484"/>
      <c r="J23" s="484"/>
      <c r="K23" s="484"/>
      <c r="L23" s="484"/>
    </row>
    <row r="24" spans="1:12" ht="22.95" customHeight="1" x14ac:dyDescent="0.3">
      <c r="A24" s="261">
        <v>9</v>
      </c>
      <c r="B24" s="364" t="s">
        <v>399</v>
      </c>
      <c r="C24" s="246">
        <f>参数表!C2*30</f>
        <v>60</v>
      </c>
      <c r="D24" s="261" t="s">
        <v>400</v>
      </c>
      <c r="E24" s="484" t="s">
        <v>373</v>
      </c>
      <c r="F24" s="484"/>
      <c r="G24" s="484"/>
      <c r="H24" s="484"/>
      <c r="I24" s="484"/>
      <c r="J24" s="484"/>
      <c r="K24" s="484"/>
      <c r="L24" s="484"/>
    </row>
    <row r="25" spans="1:12" ht="50.5" customHeight="1" x14ac:dyDescent="0.3">
      <c r="A25" s="261">
        <v>10</v>
      </c>
      <c r="B25" s="261" t="s">
        <v>401</v>
      </c>
      <c r="C25" s="248">
        <v>0.2</v>
      </c>
      <c r="D25" s="261"/>
      <c r="E25" s="484" t="s">
        <v>402</v>
      </c>
      <c r="F25" s="484"/>
      <c r="G25" s="484"/>
      <c r="H25" s="484"/>
      <c r="I25" s="484"/>
      <c r="J25" s="484"/>
      <c r="K25" s="484"/>
      <c r="L25" s="484"/>
    </row>
    <row r="26" spans="1:12" ht="22.95" customHeight="1" x14ac:dyDescent="0.3">
      <c r="A26" s="261">
        <v>11</v>
      </c>
      <c r="B26" s="261" t="s">
        <v>403</v>
      </c>
      <c r="C26" s="248">
        <v>4.9000000000000002E-2</v>
      </c>
      <c r="D26" s="261"/>
      <c r="E26" s="485" t="s">
        <v>469</v>
      </c>
      <c r="F26" s="484"/>
      <c r="G26" s="484"/>
      <c r="H26" s="484"/>
      <c r="I26" s="484"/>
      <c r="J26" s="484"/>
      <c r="K26" s="484"/>
      <c r="L26" s="484"/>
    </row>
    <row r="27" spans="1:12" ht="22.95" customHeight="1" x14ac:dyDescent="0.3">
      <c r="A27" s="250">
        <v>18</v>
      </c>
      <c r="B27" s="250" t="s">
        <v>404</v>
      </c>
      <c r="C27" s="246">
        <v>15</v>
      </c>
      <c r="D27" s="250" t="s">
        <v>405</v>
      </c>
      <c r="E27" s="485" t="s">
        <v>469</v>
      </c>
      <c r="F27" s="484"/>
      <c r="G27" s="484"/>
      <c r="H27" s="484"/>
      <c r="I27" s="484"/>
      <c r="J27" s="484"/>
      <c r="K27" s="484"/>
      <c r="L27" s="484"/>
    </row>
    <row r="28" spans="1:12" ht="22.95" customHeight="1" x14ac:dyDescent="0.3">
      <c r="A28" s="363">
        <v>12</v>
      </c>
      <c r="B28" s="363" t="s">
        <v>406</v>
      </c>
      <c r="C28" s="297">
        <v>4.3499999999999997E-2</v>
      </c>
      <c r="D28" s="363"/>
      <c r="E28" s="485" t="s">
        <v>469</v>
      </c>
      <c r="F28" s="484"/>
      <c r="G28" s="484"/>
      <c r="H28" s="484"/>
      <c r="I28" s="484"/>
      <c r="J28" s="484"/>
      <c r="K28" s="484"/>
      <c r="L28" s="484"/>
    </row>
    <row r="29" spans="1:12" ht="22.95" customHeight="1" x14ac:dyDescent="0.3">
      <c r="A29" s="261">
        <v>13</v>
      </c>
      <c r="B29" s="261" t="s">
        <v>407</v>
      </c>
      <c r="C29" s="257">
        <v>4.3499999999999997E-2</v>
      </c>
      <c r="D29" s="261"/>
      <c r="E29" s="485" t="s">
        <v>469</v>
      </c>
      <c r="F29" s="484"/>
      <c r="G29" s="484"/>
      <c r="H29" s="484"/>
      <c r="I29" s="484"/>
      <c r="J29" s="484"/>
      <c r="K29" s="484"/>
      <c r="L29" s="484"/>
    </row>
    <row r="30" spans="1:12" ht="22.95" customHeight="1" x14ac:dyDescent="0.3">
      <c r="A30" s="261">
        <v>14</v>
      </c>
      <c r="B30" s="261" t="s">
        <v>408</v>
      </c>
      <c r="C30" s="246">
        <v>10</v>
      </c>
      <c r="D30" s="364" t="s">
        <v>409</v>
      </c>
      <c r="E30" s="485" t="s">
        <v>465</v>
      </c>
      <c r="F30" s="484"/>
      <c r="G30" s="484"/>
      <c r="H30" s="484"/>
      <c r="I30" s="484"/>
      <c r="J30" s="484"/>
      <c r="K30" s="484"/>
      <c r="L30" s="484"/>
    </row>
    <row r="31" spans="1:12" ht="36" customHeight="1" x14ac:dyDescent="0.3">
      <c r="A31" s="261">
        <v>15</v>
      </c>
      <c r="B31" s="261" t="s">
        <v>410</v>
      </c>
      <c r="C31" s="258">
        <v>0.13</v>
      </c>
      <c r="D31" s="261"/>
      <c r="E31" s="484" t="s">
        <v>411</v>
      </c>
      <c r="F31" s="484"/>
      <c r="G31" s="484"/>
      <c r="H31" s="484"/>
      <c r="I31" s="484"/>
      <c r="J31" s="484"/>
      <c r="K31" s="484"/>
      <c r="L31" s="484"/>
    </row>
    <row r="32" spans="1:12" ht="22.95" customHeight="1" x14ac:dyDescent="0.3">
      <c r="A32" s="261">
        <v>16</v>
      </c>
      <c r="B32" s="261" t="s">
        <v>412</v>
      </c>
      <c r="C32" s="259">
        <v>2045</v>
      </c>
      <c r="D32" s="364" t="s">
        <v>413</v>
      </c>
      <c r="E32" s="484" t="s">
        <v>414</v>
      </c>
      <c r="F32" s="484"/>
      <c r="G32" s="484"/>
      <c r="H32" s="484"/>
      <c r="I32" s="484"/>
      <c r="J32" s="484"/>
      <c r="K32" s="484"/>
      <c r="L32" s="484"/>
    </row>
    <row r="33" spans="1:23" ht="22.95" customHeight="1" x14ac:dyDescent="0.3">
      <c r="A33" s="261">
        <v>17</v>
      </c>
      <c r="B33" s="261" t="s">
        <v>415</v>
      </c>
      <c r="C33" s="260">
        <v>0.05</v>
      </c>
      <c r="D33" s="261"/>
      <c r="E33" s="484" t="s">
        <v>416</v>
      </c>
      <c r="F33" s="484"/>
      <c r="G33" s="484"/>
      <c r="H33" s="484"/>
      <c r="I33" s="484"/>
      <c r="J33" s="484"/>
      <c r="K33" s="484"/>
      <c r="L33" s="484"/>
    </row>
    <row r="34" spans="1:23" ht="22.95" customHeight="1" x14ac:dyDescent="0.3">
      <c r="A34" s="261">
        <v>18</v>
      </c>
      <c r="B34" s="261" t="s">
        <v>417</v>
      </c>
      <c r="C34" s="260">
        <v>0.05</v>
      </c>
      <c r="D34" s="261"/>
      <c r="E34" s="484" t="s">
        <v>418</v>
      </c>
      <c r="F34" s="484"/>
      <c r="G34" s="484"/>
      <c r="H34" s="484"/>
      <c r="I34" s="484"/>
      <c r="J34" s="484"/>
      <c r="K34" s="484"/>
      <c r="L34" s="484"/>
    </row>
    <row r="35" spans="1:23" ht="36" customHeight="1" x14ac:dyDescent="0.3">
      <c r="A35" s="261">
        <v>19</v>
      </c>
      <c r="B35" s="261" t="s">
        <v>419</v>
      </c>
      <c r="C35" s="260">
        <v>0.25</v>
      </c>
      <c r="D35" s="261"/>
      <c r="E35" s="484" t="s">
        <v>420</v>
      </c>
      <c r="F35" s="484"/>
      <c r="G35" s="484"/>
      <c r="H35" s="484"/>
      <c r="I35" s="484"/>
      <c r="J35" s="484"/>
      <c r="K35" s="484"/>
      <c r="L35" s="484"/>
    </row>
    <row r="36" spans="1:23" ht="55.5" customHeight="1" x14ac:dyDescent="0.3">
      <c r="A36" s="261">
        <v>19.100000000000001</v>
      </c>
      <c r="B36" s="465" t="s">
        <v>470</v>
      </c>
      <c r="C36" s="466" t="s">
        <v>471</v>
      </c>
      <c r="D36" s="261"/>
      <c r="E36" s="473" t="s">
        <v>472</v>
      </c>
      <c r="F36" s="474"/>
      <c r="G36" s="474"/>
      <c r="H36" s="474"/>
      <c r="I36" s="474"/>
      <c r="J36" s="474"/>
      <c r="K36" s="474"/>
      <c r="L36" s="475"/>
    </row>
    <row r="37" spans="1:23" ht="23.25" customHeight="1" x14ac:dyDescent="0.3">
      <c r="A37" s="261">
        <v>19.2</v>
      </c>
      <c r="B37" s="465" t="s">
        <v>473</v>
      </c>
      <c r="C37" s="260">
        <v>0.15</v>
      </c>
      <c r="D37" s="261"/>
      <c r="E37" s="476"/>
      <c r="F37" s="477"/>
      <c r="G37" s="477"/>
      <c r="H37" s="477"/>
      <c r="I37" s="477"/>
      <c r="J37" s="477"/>
      <c r="K37" s="477"/>
      <c r="L37" s="478"/>
    </row>
    <row r="38" spans="1:23" ht="22.95" customHeight="1" x14ac:dyDescent="0.3">
      <c r="A38" s="261">
        <v>20</v>
      </c>
      <c r="B38" s="261" t="s">
        <v>421</v>
      </c>
      <c r="C38" s="260">
        <v>0.1</v>
      </c>
      <c r="D38" s="261"/>
      <c r="E38" s="484" t="s">
        <v>396</v>
      </c>
      <c r="F38" s="484"/>
      <c r="G38" s="484"/>
      <c r="H38" s="484"/>
      <c r="I38" s="484"/>
      <c r="J38" s="484"/>
      <c r="K38" s="484"/>
      <c r="L38" s="484"/>
    </row>
    <row r="39" spans="1:23" ht="22.95" customHeight="1" x14ac:dyDescent="0.3">
      <c r="A39" s="261">
        <v>21</v>
      </c>
      <c r="B39" s="261" t="s">
        <v>422</v>
      </c>
      <c r="C39" s="246">
        <v>15</v>
      </c>
      <c r="D39" s="261"/>
      <c r="E39" s="484" t="s">
        <v>423</v>
      </c>
      <c r="F39" s="484"/>
      <c r="G39" s="484"/>
      <c r="H39" s="484"/>
      <c r="I39" s="484"/>
      <c r="J39" s="484"/>
      <c r="K39" s="484"/>
      <c r="L39" s="484"/>
    </row>
    <row r="40" spans="1:23" ht="22.95" customHeight="1" x14ac:dyDescent="0.3">
      <c r="A40" s="261">
        <v>22</v>
      </c>
      <c r="B40" s="261" t="s">
        <v>424</v>
      </c>
      <c r="C40" s="248">
        <v>0.05</v>
      </c>
      <c r="D40" s="261"/>
      <c r="E40" s="484" t="s">
        <v>423</v>
      </c>
      <c r="F40" s="484"/>
      <c r="G40" s="484"/>
      <c r="H40" s="484"/>
      <c r="I40" s="484"/>
      <c r="J40" s="484"/>
      <c r="K40" s="484"/>
      <c r="L40" s="484"/>
    </row>
    <row r="41" spans="1:23" ht="22.95" customHeight="1" x14ac:dyDescent="0.3">
      <c r="A41" s="250">
        <v>23</v>
      </c>
      <c r="B41" s="250" t="s">
        <v>425</v>
      </c>
      <c r="C41" s="249">
        <f>(1-参数表!C40)/参数表!C39</f>
        <v>6.3333333333333325E-2</v>
      </c>
      <c r="D41" s="250"/>
      <c r="E41" s="486" t="s">
        <v>460</v>
      </c>
      <c r="F41" s="486"/>
      <c r="G41" s="486"/>
      <c r="H41" s="486"/>
      <c r="I41" s="486"/>
      <c r="J41" s="486"/>
      <c r="K41" s="486"/>
      <c r="L41" s="486"/>
    </row>
    <row r="42" spans="1:23" ht="22.95" customHeight="1" x14ac:dyDescent="0.3">
      <c r="A42" s="261">
        <v>23</v>
      </c>
      <c r="B42" s="261" t="s">
        <v>426</v>
      </c>
      <c r="C42" s="443">
        <f>(成本!Y7+成本!Y8+成本!Y10+成本!Y18)/参数表!C2/20</f>
        <v>342.10343310118185</v>
      </c>
      <c r="D42" s="448" t="s">
        <v>392</v>
      </c>
      <c r="E42" s="483" t="s">
        <v>460</v>
      </c>
      <c r="F42" s="483"/>
      <c r="G42" s="483"/>
      <c r="H42" s="483"/>
      <c r="I42" s="483"/>
      <c r="J42" s="483"/>
      <c r="K42" s="483"/>
      <c r="L42" s="483"/>
    </row>
    <row r="43" spans="1:23" ht="22.95" customHeight="1" x14ac:dyDescent="0.3">
      <c r="A43" s="481">
        <v>23.1</v>
      </c>
      <c r="B43" s="479" t="s">
        <v>427</v>
      </c>
      <c r="C43" s="449">
        <f t="shared" ref="C43:W43" si="1">C4</f>
        <v>2020</v>
      </c>
      <c r="D43" s="449">
        <f t="shared" si="1"/>
        <v>2021</v>
      </c>
      <c r="E43" s="449">
        <f t="shared" si="1"/>
        <v>2022</v>
      </c>
      <c r="F43" s="449">
        <f t="shared" si="1"/>
        <v>2023</v>
      </c>
      <c r="G43" s="449">
        <f t="shared" si="1"/>
        <v>2024</v>
      </c>
      <c r="H43" s="449">
        <f t="shared" si="1"/>
        <v>2025</v>
      </c>
      <c r="I43" s="449">
        <f t="shared" si="1"/>
        <v>2026</v>
      </c>
      <c r="J43" s="449">
        <f t="shared" si="1"/>
        <v>2027</v>
      </c>
      <c r="K43" s="449">
        <f t="shared" si="1"/>
        <v>2028</v>
      </c>
      <c r="L43" s="449">
        <f t="shared" si="1"/>
        <v>2029</v>
      </c>
      <c r="M43" s="449">
        <f t="shared" si="1"/>
        <v>2030</v>
      </c>
      <c r="N43" s="449">
        <f t="shared" si="1"/>
        <v>2031</v>
      </c>
      <c r="O43" s="449">
        <f t="shared" si="1"/>
        <v>2032</v>
      </c>
      <c r="P43" s="449">
        <f t="shared" si="1"/>
        <v>2033</v>
      </c>
      <c r="Q43" s="449">
        <f t="shared" si="1"/>
        <v>2034</v>
      </c>
      <c r="R43" s="449">
        <f t="shared" si="1"/>
        <v>2035</v>
      </c>
      <c r="S43" s="449">
        <f t="shared" si="1"/>
        <v>2036</v>
      </c>
      <c r="T43" s="449">
        <f t="shared" si="1"/>
        <v>2037</v>
      </c>
      <c r="U43" s="449">
        <f t="shared" si="1"/>
        <v>2038</v>
      </c>
      <c r="V43" s="449">
        <f t="shared" si="1"/>
        <v>2039</v>
      </c>
      <c r="W43" s="449">
        <f t="shared" si="1"/>
        <v>2040</v>
      </c>
    </row>
    <row r="44" spans="1:23" ht="22.95" customHeight="1" x14ac:dyDescent="0.3">
      <c r="A44" s="482"/>
      <c r="B44" s="480"/>
      <c r="C44" s="248"/>
      <c r="D44" s="248">
        <v>2E-3</v>
      </c>
      <c r="E44" s="248">
        <v>2E-3</v>
      </c>
      <c r="F44" s="248">
        <v>2E-3</v>
      </c>
      <c r="G44" s="248">
        <v>2E-3</v>
      </c>
      <c r="H44" s="248">
        <v>2E-3</v>
      </c>
      <c r="I44" s="248">
        <v>0.01</v>
      </c>
      <c r="J44" s="248">
        <v>0.01</v>
      </c>
      <c r="K44" s="248">
        <v>0.01</v>
      </c>
      <c r="L44" s="248">
        <v>0.01</v>
      </c>
      <c r="M44" s="248">
        <v>0.01</v>
      </c>
      <c r="N44" s="248">
        <v>1.4999999999999999E-2</v>
      </c>
      <c r="O44" s="248">
        <v>1.4999999999999999E-2</v>
      </c>
      <c r="P44" s="248">
        <v>1.4999999999999999E-2</v>
      </c>
      <c r="Q44" s="248">
        <v>1.4999999999999999E-2</v>
      </c>
      <c r="R44" s="248">
        <v>1.4999999999999999E-2</v>
      </c>
      <c r="S44" s="248">
        <v>0.02</v>
      </c>
      <c r="T44" s="248">
        <v>0.02</v>
      </c>
      <c r="U44" s="248">
        <v>0.02</v>
      </c>
      <c r="V44" s="248">
        <v>0.02</v>
      </c>
      <c r="W44" s="248">
        <v>0.02</v>
      </c>
    </row>
    <row r="45" spans="1:23" ht="22.95" customHeight="1" x14ac:dyDescent="0.3">
      <c r="A45" s="261">
        <v>23.2</v>
      </c>
      <c r="B45" s="261" t="s">
        <v>428</v>
      </c>
      <c r="C45" s="246">
        <v>10</v>
      </c>
      <c r="D45" s="261"/>
      <c r="E45" s="485" t="s">
        <v>467</v>
      </c>
      <c r="F45" s="484"/>
      <c r="G45" s="484"/>
      <c r="H45" s="484"/>
      <c r="I45" s="484"/>
      <c r="J45" s="484"/>
      <c r="K45" s="484"/>
      <c r="L45" s="484"/>
    </row>
    <row r="46" spans="1:23" ht="22.95" customHeight="1" x14ac:dyDescent="0.3">
      <c r="A46" s="261">
        <v>23.3</v>
      </c>
      <c r="B46" s="261" t="s">
        <v>429</v>
      </c>
      <c r="C46" s="246">
        <v>9</v>
      </c>
      <c r="D46" s="261" t="s">
        <v>400</v>
      </c>
      <c r="E46" s="485" t="s">
        <v>467</v>
      </c>
      <c r="F46" s="484"/>
      <c r="G46" s="484"/>
      <c r="H46" s="484"/>
      <c r="I46" s="484"/>
      <c r="J46" s="484"/>
      <c r="K46" s="484"/>
      <c r="L46" s="484"/>
    </row>
    <row r="47" spans="1:23" ht="22.95" customHeight="1" x14ac:dyDescent="0.3">
      <c r="A47" s="261">
        <v>23.4</v>
      </c>
      <c r="B47" s="261" t="s">
        <v>430</v>
      </c>
      <c r="C47" s="248">
        <v>0.6</v>
      </c>
      <c r="D47" s="261"/>
      <c r="E47" s="485" t="s">
        <v>467</v>
      </c>
      <c r="F47" s="484"/>
      <c r="G47" s="484"/>
      <c r="H47" s="484"/>
      <c r="I47" s="484"/>
      <c r="J47" s="484"/>
      <c r="K47" s="484"/>
      <c r="L47" s="484"/>
    </row>
    <row r="48" spans="1:23" ht="22.95" customHeight="1" x14ac:dyDescent="0.3">
      <c r="A48" s="261">
        <v>23.5</v>
      </c>
      <c r="B48" s="261" t="s">
        <v>431</v>
      </c>
      <c r="C48" s="246">
        <v>30</v>
      </c>
      <c r="D48" s="364" t="s">
        <v>392</v>
      </c>
      <c r="E48" s="485" t="s">
        <v>467</v>
      </c>
      <c r="F48" s="484"/>
      <c r="G48" s="484"/>
      <c r="H48" s="484"/>
      <c r="I48" s="484"/>
      <c r="J48" s="484"/>
      <c r="K48" s="484"/>
      <c r="L48" s="484"/>
    </row>
    <row r="49" spans="1:23" ht="22.95" customHeight="1" x14ac:dyDescent="0.3">
      <c r="A49" s="261">
        <v>23.6</v>
      </c>
      <c r="B49" s="261" t="s">
        <v>432</v>
      </c>
      <c r="C49" s="246">
        <v>10</v>
      </c>
      <c r="D49" s="364" t="s">
        <v>392</v>
      </c>
      <c r="E49" s="485" t="s">
        <v>467</v>
      </c>
      <c r="F49" s="484"/>
      <c r="G49" s="484"/>
      <c r="H49" s="484"/>
      <c r="I49" s="484"/>
      <c r="J49" s="484"/>
      <c r="K49" s="484"/>
      <c r="L49" s="484"/>
    </row>
    <row r="50" spans="1:23" ht="22.95" customHeight="1" x14ac:dyDescent="0.3">
      <c r="A50" s="261">
        <v>23.7</v>
      </c>
      <c r="B50" s="261" t="s">
        <v>433</v>
      </c>
      <c r="C50" s="248">
        <v>2.5000000000000001E-3</v>
      </c>
      <c r="D50" s="261"/>
      <c r="E50" s="485" t="s">
        <v>467</v>
      </c>
      <c r="F50" s="484"/>
      <c r="G50" s="484"/>
      <c r="H50" s="484"/>
      <c r="I50" s="484"/>
      <c r="J50" s="484"/>
      <c r="K50" s="484"/>
      <c r="L50" s="484"/>
    </row>
    <row r="51" spans="1:23" ht="22.95" customHeight="1" x14ac:dyDescent="0.3">
      <c r="A51" s="261">
        <v>24</v>
      </c>
      <c r="B51" s="261" t="s">
        <v>434</v>
      </c>
      <c r="C51" s="247">
        <f>C53*C54/10000</f>
        <v>0</v>
      </c>
      <c r="D51" s="261"/>
      <c r="E51" s="484"/>
      <c r="F51" s="484"/>
      <c r="G51" s="484"/>
      <c r="H51" s="484"/>
      <c r="I51" s="484"/>
      <c r="J51" s="484"/>
      <c r="K51" s="484"/>
      <c r="L51" s="484"/>
    </row>
    <row r="52" spans="1:23" ht="22.95" customHeight="1" x14ac:dyDescent="0.3">
      <c r="A52" s="261">
        <v>24.1</v>
      </c>
      <c r="B52" s="261" t="s">
        <v>435</v>
      </c>
      <c r="C52" s="246">
        <v>0</v>
      </c>
      <c r="D52" s="261" t="s">
        <v>353</v>
      </c>
      <c r="E52" s="484"/>
      <c r="F52" s="484"/>
      <c r="G52" s="484"/>
      <c r="H52" s="484"/>
      <c r="I52" s="484"/>
      <c r="J52" s="484"/>
      <c r="K52" s="484"/>
      <c r="L52" s="484"/>
    </row>
    <row r="53" spans="1:23" ht="22.95" customHeight="1" x14ac:dyDescent="0.3">
      <c r="A53" s="261">
        <v>24.2</v>
      </c>
      <c r="B53" s="261" t="s">
        <v>436</v>
      </c>
      <c r="C53" s="247">
        <f>C2*C52*10000/(1000*2/3)</f>
        <v>0</v>
      </c>
      <c r="D53" s="261" t="s">
        <v>437</v>
      </c>
      <c r="E53" s="484"/>
      <c r="F53" s="484"/>
      <c r="G53" s="484"/>
      <c r="H53" s="484"/>
      <c r="I53" s="484"/>
      <c r="J53" s="484"/>
      <c r="K53" s="484"/>
      <c r="L53" s="484"/>
    </row>
    <row r="54" spans="1:23" ht="22.95" customHeight="1" x14ac:dyDescent="0.3">
      <c r="A54" s="261"/>
      <c r="B54" s="261" t="s">
        <v>438</v>
      </c>
      <c r="C54" s="246">
        <v>0</v>
      </c>
      <c r="D54" s="261" t="s">
        <v>439</v>
      </c>
      <c r="E54" s="484"/>
      <c r="F54" s="484"/>
      <c r="G54" s="484"/>
      <c r="H54" s="484"/>
      <c r="I54" s="484"/>
      <c r="J54" s="484"/>
      <c r="K54" s="484"/>
      <c r="L54" s="484"/>
    </row>
    <row r="55" spans="1:23" ht="22.95" customHeight="1" x14ac:dyDescent="0.3">
      <c r="A55" s="261"/>
      <c r="B55" s="447" t="s">
        <v>440</v>
      </c>
      <c r="C55" s="248">
        <v>0</v>
      </c>
      <c r="D55" s="261"/>
      <c r="E55" s="484"/>
      <c r="F55" s="484"/>
      <c r="G55" s="484"/>
      <c r="H55" s="484"/>
      <c r="I55" s="484"/>
      <c r="J55" s="484"/>
      <c r="K55" s="484"/>
      <c r="L55" s="484"/>
    </row>
    <row r="56" spans="1:23" ht="22.95" customHeight="1" x14ac:dyDescent="0.3">
      <c r="A56" s="261">
        <v>24.3</v>
      </c>
      <c r="B56" s="261" t="s">
        <v>441</v>
      </c>
      <c r="C56" s="246">
        <v>1</v>
      </c>
      <c r="D56" s="261" t="s">
        <v>442</v>
      </c>
      <c r="E56" s="484"/>
      <c r="F56" s="484"/>
      <c r="G56" s="484"/>
      <c r="H56" s="484"/>
      <c r="I56" s="484"/>
      <c r="J56" s="484"/>
      <c r="K56" s="484"/>
      <c r="L56" s="484"/>
    </row>
    <row r="57" spans="1:23" ht="22.95" customHeight="1" x14ac:dyDescent="0.3">
      <c r="A57" s="261"/>
      <c r="B57" s="261"/>
      <c r="C57" s="450">
        <f t="shared" ref="C57:W57" si="2">C4</f>
        <v>2020</v>
      </c>
      <c r="D57" s="450">
        <f t="shared" si="2"/>
        <v>2021</v>
      </c>
      <c r="E57" s="451">
        <f t="shared" si="2"/>
        <v>2022</v>
      </c>
      <c r="F57" s="451">
        <f t="shared" si="2"/>
        <v>2023</v>
      </c>
      <c r="G57" s="451">
        <f t="shared" si="2"/>
        <v>2024</v>
      </c>
      <c r="H57" s="451">
        <f t="shared" si="2"/>
        <v>2025</v>
      </c>
      <c r="I57" s="451">
        <f t="shared" si="2"/>
        <v>2026</v>
      </c>
      <c r="J57" s="451">
        <f t="shared" si="2"/>
        <v>2027</v>
      </c>
      <c r="K57" s="451">
        <f t="shared" si="2"/>
        <v>2028</v>
      </c>
      <c r="L57" s="451">
        <f t="shared" si="2"/>
        <v>2029</v>
      </c>
      <c r="M57" s="450">
        <f t="shared" si="2"/>
        <v>2030</v>
      </c>
      <c r="N57" s="450">
        <f t="shared" si="2"/>
        <v>2031</v>
      </c>
      <c r="O57" s="450">
        <f t="shared" si="2"/>
        <v>2032</v>
      </c>
      <c r="P57" s="450">
        <f t="shared" si="2"/>
        <v>2033</v>
      </c>
      <c r="Q57" s="450">
        <f t="shared" si="2"/>
        <v>2034</v>
      </c>
      <c r="R57" s="450">
        <f t="shared" si="2"/>
        <v>2035</v>
      </c>
      <c r="S57" s="450">
        <f t="shared" si="2"/>
        <v>2036</v>
      </c>
      <c r="T57" s="450">
        <f t="shared" si="2"/>
        <v>2037</v>
      </c>
      <c r="U57" s="450">
        <f t="shared" si="2"/>
        <v>2038</v>
      </c>
      <c r="V57" s="450">
        <f t="shared" si="2"/>
        <v>2039</v>
      </c>
      <c r="W57" s="450">
        <f t="shared" si="2"/>
        <v>2040</v>
      </c>
    </row>
    <row r="58" spans="1:23" ht="22.95" customHeight="1" x14ac:dyDescent="0.3">
      <c r="A58" s="261">
        <v>24.4</v>
      </c>
      <c r="B58" s="261" t="s">
        <v>443</v>
      </c>
      <c r="C58" s="452">
        <f t="shared" ref="C58:V58" si="3">IF((C57-$C$57)/$C$56-INT((C57-$C$57)/$C$56)=0,IF(INT((C57-$C$57)/$C$56)=INT(25/$C$56),$C$51*MOD(25,$C$56)*(1+$C$55)^(C57-$C$57),$C$51*$C$56*(1+$C$55)^(C57-$C$57)),0)</f>
        <v>0</v>
      </c>
      <c r="D58" s="452">
        <f t="shared" si="3"/>
        <v>0</v>
      </c>
      <c r="E58" s="452">
        <f t="shared" si="3"/>
        <v>0</v>
      </c>
      <c r="F58" s="452">
        <f t="shared" si="3"/>
        <v>0</v>
      </c>
      <c r="G58" s="452">
        <f t="shared" si="3"/>
        <v>0</v>
      </c>
      <c r="H58" s="452">
        <f t="shared" si="3"/>
        <v>0</v>
      </c>
      <c r="I58" s="452">
        <f t="shared" si="3"/>
        <v>0</v>
      </c>
      <c r="J58" s="452">
        <f t="shared" si="3"/>
        <v>0</v>
      </c>
      <c r="K58" s="452">
        <f t="shared" si="3"/>
        <v>0</v>
      </c>
      <c r="L58" s="452">
        <f t="shared" si="3"/>
        <v>0</v>
      </c>
      <c r="M58" s="452">
        <f t="shared" si="3"/>
        <v>0</v>
      </c>
      <c r="N58" s="452">
        <f t="shared" si="3"/>
        <v>0</v>
      </c>
      <c r="O58" s="452">
        <f t="shared" si="3"/>
        <v>0</v>
      </c>
      <c r="P58" s="452">
        <f t="shared" si="3"/>
        <v>0</v>
      </c>
      <c r="Q58" s="452">
        <f t="shared" si="3"/>
        <v>0</v>
      </c>
      <c r="R58" s="452">
        <f t="shared" si="3"/>
        <v>0</v>
      </c>
      <c r="S58" s="452">
        <f t="shared" si="3"/>
        <v>0</v>
      </c>
      <c r="T58" s="452">
        <f t="shared" si="3"/>
        <v>0</v>
      </c>
      <c r="U58" s="452">
        <f t="shared" si="3"/>
        <v>0</v>
      </c>
      <c r="V58" s="452">
        <f t="shared" si="3"/>
        <v>0</v>
      </c>
      <c r="W58" s="452">
        <f>IF((W57-$C$57)/$C$56-INT((W57-$C$57)/$C$56)=0,IF(INT((W57-$C$57)/$C$56)=INT(26/$C$56),$C$51*MOD(25,$C$56)*(1+$C$55)^(W57-$C$57),$C$51*$C$56*(1+$C$55)^(W57-$C$57)),0)</f>
        <v>0</v>
      </c>
    </row>
    <row r="59" spans="1:23" ht="22.95" customHeight="1" x14ac:dyDescent="0.3">
      <c r="A59" s="261">
        <v>24.5</v>
      </c>
      <c r="B59" s="261" t="s">
        <v>444</v>
      </c>
      <c r="C59" s="453">
        <f t="shared" ref="C59:W59" si="4">$C$51*(1+$C$55)^(INT((C57-$C$57)/$C$56)*$C$56)</f>
        <v>0</v>
      </c>
      <c r="D59" s="453">
        <f t="shared" si="4"/>
        <v>0</v>
      </c>
      <c r="E59" s="453">
        <f t="shared" si="4"/>
        <v>0</v>
      </c>
      <c r="F59" s="453">
        <f t="shared" si="4"/>
        <v>0</v>
      </c>
      <c r="G59" s="453">
        <f t="shared" si="4"/>
        <v>0</v>
      </c>
      <c r="H59" s="453">
        <f t="shared" si="4"/>
        <v>0</v>
      </c>
      <c r="I59" s="453">
        <f t="shared" si="4"/>
        <v>0</v>
      </c>
      <c r="J59" s="453">
        <f t="shared" si="4"/>
        <v>0</v>
      </c>
      <c r="K59" s="453">
        <f t="shared" si="4"/>
        <v>0</v>
      </c>
      <c r="L59" s="453">
        <f t="shared" si="4"/>
        <v>0</v>
      </c>
      <c r="M59" s="453">
        <f t="shared" si="4"/>
        <v>0</v>
      </c>
      <c r="N59" s="453">
        <f t="shared" si="4"/>
        <v>0</v>
      </c>
      <c r="O59" s="453">
        <f t="shared" si="4"/>
        <v>0</v>
      </c>
      <c r="P59" s="453">
        <f t="shared" si="4"/>
        <v>0</v>
      </c>
      <c r="Q59" s="453">
        <f t="shared" si="4"/>
        <v>0</v>
      </c>
      <c r="R59" s="453">
        <f t="shared" si="4"/>
        <v>0</v>
      </c>
      <c r="S59" s="453">
        <f t="shared" si="4"/>
        <v>0</v>
      </c>
      <c r="T59" s="453">
        <f t="shared" si="4"/>
        <v>0</v>
      </c>
      <c r="U59" s="453">
        <f t="shared" si="4"/>
        <v>0</v>
      </c>
      <c r="V59" s="453">
        <f t="shared" si="4"/>
        <v>0</v>
      </c>
      <c r="W59" s="453">
        <f t="shared" si="4"/>
        <v>0</v>
      </c>
    </row>
    <row r="60" spans="1:23" ht="22.95" customHeight="1" x14ac:dyDescent="0.3">
      <c r="A60" s="261">
        <v>25</v>
      </c>
      <c r="B60" s="261" t="s">
        <v>445</v>
      </c>
      <c r="C60" s="248">
        <v>0.8</v>
      </c>
      <c r="D60" s="261"/>
      <c r="E60" s="484" t="s">
        <v>446</v>
      </c>
      <c r="F60" s="484"/>
      <c r="G60" s="484"/>
      <c r="H60" s="484"/>
      <c r="I60" s="484"/>
      <c r="J60" s="484"/>
      <c r="K60" s="484"/>
      <c r="L60" s="484"/>
    </row>
    <row r="61" spans="1:23" ht="22.95" customHeight="1" x14ac:dyDescent="0.3">
      <c r="A61" s="261">
        <v>26</v>
      </c>
      <c r="B61" s="456" t="s">
        <v>447</v>
      </c>
      <c r="C61" s="457">
        <v>8.5000000000000006E-2</v>
      </c>
      <c r="D61" s="261"/>
      <c r="E61" s="484" t="s">
        <v>448</v>
      </c>
      <c r="F61" s="484"/>
      <c r="G61" s="484"/>
      <c r="H61" s="484"/>
      <c r="I61" s="484"/>
      <c r="J61" s="484"/>
      <c r="K61" s="484"/>
      <c r="L61" s="484"/>
    </row>
    <row r="62" spans="1:23" ht="22.95" customHeight="1" x14ac:dyDescent="0.3">
      <c r="A62" s="364">
        <v>27</v>
      </c>
      <c r="B62" s="456" t="s">
        <v>449</v>
      </c>
      <c r="C62" s="457">
        <v>0.15</v>
      </c>
      <c r="D62" s="261"/>
      <c r="E62" s="484" t="s">
        <v>450</v>
      </c>
      <c r="F62" s="484"/>
      <c r="G62" s="484"/>
      <c r="H62" s="484"/>
      <c r="I62" s="484"/>
      <c r="J62" s="484"/>
      <c r="K62" s="484"/>
      <c r="L62" s="484"/>
    </row>
    <row r="63" spans="1:23" ht="22.95" customHeight="1" x14ac:dyDescent="0.3">
      <c r="A63" s="261">
        <v>28</v>
      </c>
      <c r="B63" s="456" t="s">
        <v>451</v>
      </c>
      <c r="C63" s="458">
        <f>C19</f>
        <v>20100</v>
      </c>
      <c r="D63" s="261" t="s">
        <v>392</v>
      </c>
      <c r="E63" s="484" t="s">
        <v>452</v>
      </c>
      <c r="F63" s="484"/>
      <c r="G63" s="484"/>
      <c r="H63" s="484"/>
      <c r="I63" s="484"/>
      <c r="J63" s="484"/>
      <c r="K63" s="484"/>
      <c r="L63" s="484"/>
    </row>
    <row r="64" spans="1:23" ht="22.95" customHeight="1" x14ac:dyDescent="0.3">
      <c r="A64" s="364">
        <v>29</v>
      </c>
      <c r="B64" s="456" t="s">
        <v>453</v>
      </c>
      <c r="C64" s="458">
        <v>7500</v>
      </c>
      <c r="D64" s="261" t="s">
        <v>392</v>
      </c>
      <c r="E64" s="484" t="s">
        <v>454</v>
      </c>
      <c r="F64" s="484"/>
      <c r="G64" s="484"/>
      <c r="H64" s="484"/>
      <c r="I64" s="484"/>
      <c r="J64" s="484"/>
      <c r="K64" s="484"/>
      <c r="L64" s="484"/>
    </row>
    <row r="65" spans="1:12" ht="22.95" customHeight="1" x14ac:dyDescent="0.3">
      <c r="A65" s="364">
        <v>30</v>
      </c>
      <c r="B65" s="456" t="s">
        <v>455</v>
      </c>
      <c r="C65" s="457">
        <v>0.03</v>
      </c>
      <c r="D65" s="261"/>
      <c r="E65" s="484" t="s">
        <v>456</v>
      </c>
      <c r="F65" s="484"/>
      <c r="G65" s="484"/>
      <c r="H65" s="484"/>
      <c r="I65" s="484"/>
      <c r="J65" s="484"/>
      <c r="K65" s="484"/>
      <c r="L65" s="484"/>
    </row>
    <row r="66" spans="1:12" ht="22.95" customHeight="1" x14ac:dyDescent="0.3">
      <c r="A66" s="487" t="s">
        <v>457</v>
      </c>
      <c r="B66" s="488"/>
      <c r="C66" s="488"/>
      <c r="D66" s="488"/>
      <c r="E66" s="488"/>
      <c r="F66" s="488"/>
      <c r="G66" s="488"/>
      <c r="H66" s="488"/>
      <c r="I66" s="488"/>
      <c r="J66" s="488"/>
      <c r="K66" s="488"/>
      <c r="L66" s="488"/>
    </row>
  </sheetData>
  <mergeCells count="60">
    <mergeCell ref="E16:L16"/>
    <mergeCell ref="E17:L17"/>
    <mergeCell ref="E20:L20"/>
    <mergeCell ref="E25:L25"/>
    <mergeCell ref="E1:L1"/>
    <mergeCell ref="E6:L6"/>
    <mergeCell ref="E11:L11"/>
    <mergeCell ref="E15:L15"/>
    <mergeCell ref="E2:L2"/>
    <mergeCell ref="E3:L3"/>
    <mergeCell ref="E62:L62"/>
    <mergeCell ref="E28:L28"/>
    <mergeCell ref="E19:L19"/>
    <mergeCell ref="E21:L21"/>
    <mergeCell ref="E12:L12"/>
    <mergeCell ref="E13:L13"/>
    <mergeCell ref="E14:L14"/>
    <mergeCell ref="E18:L18"/>
    <mergeCell ref="E23:L23"/>
    <mergeCell ref="E22:L22"/>
    <mergeCell ref="E40:L40"/>
    <mergeCell ref="E31:L31"/>
    <mergeCell ref="E56:L56"/>
    <mergeCell ref="E51:L51"/>
    <mergeCell ref="E63:L63"/>
    <mergeCell ref="E34:L34"/>
    <mergeCell ref="E35:L35"/>
    <mergeCell ref="E53:L53"/>
    <mergeCell ref="E54:L54"/>
    <mergeCell ref="E55:L55"/>
    <mergeCell ref="E50:L50"/>
    <mergeCell ref="E60:L60"/>
    <mergeCell ref="E64:L64"/>
    <mergeCell ref="E65:L65"/>
    <mergeCell ref="E52:L52"/>
    <mergeCell ref="E32:L32"/>
    <mergeCell ref="E45:L45"/>
    <mergeCell ref="E46:L46"/>
    <mergeCell ref="E39:L39"/>
    <mergeCell ref="E38:L38"/>
    <mergeCell ref="E29:L29"/>
    <mergeCell ref="A9:A10"/>
    <mergeCell ref="B9:B10"/>
    <mergeCell ref="E7:L7"/>
    <mergeCell ref="E8:L8"/>
    <mergeCell ref="A66:L66"/>
    <mergeCell ref="E61:L61"/>
    <mergeCell ref="E47:L47"/>
    <mergeCell ref="E48:L48"/>
    <mergeCell ref="E49:L49"/>
    <mergeCell ref="E36:L37"/>
    <mergeCell ref="B43:B44"/>
    <mergeCell ref="A43:A44"/>
    <mergeCell ref="E42:L42"/>
    <mergeCell ref="E24:L24"/>
    <mergeCell ref="E26:L26"/>
    <mergeCell ref="E33:L33"/>
    <mergeCell ref="E41:L41"/>
    <mergeCell ref="E27:L27"/>
    <mergeCell ref="E30:L30"/>
  </mergeCells>
  <phoneticPr fontId="61" type="noConversion"/>
  <dataValidations count="1">
    <dataValidation type="list" allowBlank="1" showInputMessage="1" showErrorMessage="1" sqref="C36" xr:uid="{EE7093C2-7EE6-4A84-98B6-BA9E1CB7CB77}">
      <formula1>"是,否"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E5007-B228-4C8D-9140-7D832FCF20A6}">
  <sheetPr>
    <pageSetUpPr fitToPage="1"/>
  </sheetPr>
  <dimension ref="B1:K47"/>
  <sheetViews>
    <sheetView topLeftCell="A7" zoomScale="115" zoomScaleNormal="115" workbookViewId="0">
      <selection activeCell="J34" sqref="J34"/>
    </sheetView>
  </sheetViews>
  <sheetFormatPr defaultColWidth="9" defaultRowHeight="14.15" x14ac:dyDescent="0.3"/>
  <cols>
    <col min="1" max="1" width="2.7109375" style="34" customWidth="1"/>
    <col min="2" max="2" width="4.85546875" style="34" customWidth="1"/>
    <col min="3" max="3" width="36.2109375" style="34" customWidth="1"/>
    <col min="4" max="4" width="11.0703125" style="34" customWidth="1"/>
    <col min="5" max="5" width="9.35546875" style="34" customWidth="1"/>
    <col min="6" max="6" width="5.7109375" style="34" customWidth="1"/>
    <col min="7" max="7" width="34.85546875" style="34" customWidth="1"/>
    <col min="8" max="8" width="12.5" style="34" bestFit="1" customWidth="1"/>
    <col min="9" max="9" width="7.5703125" style="34" customWidth="1"/>
    <col min="10" max="16384" width="9" style="34"/>
  </cols>
  <sheetData>
    <row r="1" spans="2:9" ht="11.25" customHeight="1" x14ac:dyDescent="0.3"/>
    <row r="2" spans="2:9" ht="20.149999999999999" x14ac:dyDescent="0.3">
      <c r="E2" s="491" t="s">
        <v>0</v>
      </c>
      <c r="F2" s="491"/>
      <c r="G2" s="491"/>
    </row>
    <row r="3" spans="2:9" ht="9" customHeight="1" thickBot="1" x14ac:dyDescent="0.35"/>
    <row r="4" spans="2:9" ht="18" customHeight="1" x14ac:dyDescent="0.3">
      <c r="B4" s="298" t="s">
        <v>1</v>
      </c>
      <c r="C4" s="299" t="s">
        <v>2</v>
      </c>
      <c r="D4" s="300" t="s">
        <v>3</v>
      </c>
      <c r="E4" s="301" t="s">
        <v>4</v>
      </c>
      <c r="F4" s="298" t="s">
        <v>1</v>
      </c>
      <c r="G4" s="299" t="s">
        <v>2</v>
      </c>
      <c r="H4" s="300" t="s">
        <v>3</v>
      </c>
      <c r="I4" s="301" t="s">
        <v>4</v>
      </c>
    </row>
    <row r="5" spans="2:9" ht="14.6" x14ac:dyDescent="0.35">
      <c r="B5" s="302">
        <v>1</v>
      </c>
      <c r="C5" s="303" t="s">
        <v>5</v>
      </c>
      <c r="D5" s="345">
        <f>参数表!C2</f>
        <v>2</v>
      </c>
      <c r="E5" s="304" t="s">
        <v>6</v>
      </c>
      <c r="F5" s="302">
        <v>10</v>
      </c>
      <c r="G5" s="303" t="s">
        <v>7</v>
      </c>
      <c r="H5" s="346">
        <f>参数表!C2*D9</f>
        <v>4862</v>
      </c>
      <c r="I5" s="305" t="s">
        <v>8</v>
      </c>
    </row>
    <row r="6" spans="2:9" ht="17.25" customHeight="1" x14ac:dyDescent="0.35">
      <c r="B6" s="252">
        <v>2</v>
      </c>
      <c r="C6" s="306" t="s">
        <v>9</v>
      </c>
      <c r="D6" s="345">
        <f>参数表!C18</f>
        <v>21220</v>
      </c>
      <c r="E6" s="307" t="s">
        <v>10</v>
      </c>
      <c r="F6" s="302">
        <v>11</v>
      </c>
      <c r="G6" s="308" t="s">
        <v>320</v>
      </c>
      <c r="H6" s="347">
        <f>参数表!C2*参数表!C18</f>
        <v>42440</v>
      </c>
      <c r="I6" s="305" t="s">
        <v>11</v>
      </c>
    </row>
    <row r="7" spans="2:9" ht="19.5" customHeight="1" x14ac:dyDescent="0.35">
      <c r="B7" s="302">
        <v>3</v>
      </c>
      <c r="C7" s="306" t="s">
        <v>12</v>
      </c>
      <c r="D7" s="345">
        <f>参数表!C25*100</f>
        <v>20</v>
      </c>
      <c r="E7" s="350" t="s">
        <v>349</v>
      </c>
      <c r="F7" s="302">
        <v>12</v>
      </c>
      <c r="G7" s="303" t="s">
        <v>319</v>
      </c>
      <c r="H7" s="346">
        <f>投资计划!C9</f>
        <v>43130.123661714664</v>
      </c>
      <c r="I7" s="305" t="s">
        <v>11</v>
      </c>
    </row>
    <row r="8" spans="2:9" ht="18" customHeight="1" x14ac:dyDescent="0.35">
      <c r="B8" s="252">
        <v>4</v>
      </c>
      <c r="C8" s="303" t="s">
        <v>13</v>
      </c>
      <c r="D8" s="346">
        <f>参数表!C6</f>
        <v>0.42099999999999999</v>
      </c>
      <c r="E8" s="304" t="s">
        <v>14</v>
      </c>
      <c r="F8" s="309"/>
      <c r="G8" s="306"/>
      <c r="H8" s="348"/>
      <c r="I8" s="310"/>
    </row>
    <row r="9" spans="2:9" ht="16.5" customHeight="1" x14ac:dyDescent="0.35">
      <c r="B9" s="302">
        <v>5</v>
      </c>
      <c r="C9" s="311" t="s">
        <v>16</v>
      </c>
      <c r="D9" s="345">
        <f>参数表!C3</f>
        <v>2431</v>
      </c>
      <c r="E9" s="307" t="s">
        <v>17</v>
      </c>
      <c r="F9" s="302">
        <v>13</v>
      </c>
      <c r="G9" s="312" t="s">
        <v>18</v>
      </c>
      <c r="H9" s="358"/>
      <c r="I9" s="313"/>
    </row>
    <row r="10" spans="2:9" ht="14.6" x14ac:dyDescent="0.35">
      <c r="B10" s="302">
        <v>6</v>
      </c>
      <c r="C10" s="303" t="s">
        <v>19</v>
      </c>
      <c r="D10" s="346">
        <f>H7/H5</f>
        <v>8.8708604816360896</v>
      </c>
      <c r="E10" s="307" t="s">
        <v>20</v>
      </c>
      <c r="F10" s="302">
        <v>14</v>
      </c>
      <c r="G10" s="303" t="s">
        <v>21</v>
      </c>
      <c r="H10" s="354">
        <f>现金流量!L29</f>
        <v>-3.7478741779231051</v>
      </c>
      <c r="I10" s="313" t="s">
        <v>15</v>
      </c>
    </row>
    <row r="11" spans="2:9" x14ac:dyDescent="0.3">
      <c r="B11" s="309"/>
      <c r="C11" s="312" t="s">
        <v>22</v>
      </c>
      <c r="D11" s="346"/>
      <c r="E11" s="304"/>
      <c r="F11" s="309"/>
      <c r="G11" s="314" t="s">
        <v>23</v>
      </c>
      <c r="H11" s="354">
        <f>现金流量!H61*100</f>
        <v>-7.1453351834737671</v>
      </c>
      <c r="I11" s="310" t="s">
        <v>15</v>
      </c>
    </row>
    <row r="12" spans="2:9" x14ac:dyDescent="0.35">
      <c r="B12" s="302">
        <v>7</v>
      </c>
      <c r="C12" s="311" t="s">
        <v>24</v>
      </c>
      <c r="D12" s="345">
        <f>成本!Y22/25</f>
        <v>577.32789744230013</v>
      </c>
      <c r="E12" s="307" t="s">
        <v>11</v>
      </c>
      <c r="F12" s="302">
        <v>15</v>
      </c>
      <c r="G12" s="312" t="s">
        <v>25</v>
      </c>
      <c r="H12" s="358"/>
      <c r="I12" s="315"/>
    </row>
    <row r="13" spans="2:9" ht="14.6" x14ac:dyDescent="0.35">
      <c r="B13" s="302">
        <v>8</v>
      </c>
      <c r="C13" s="303" t="s">
        <v>26</v>
      </c>
      <c r="D13" s="345">
        <f>D12/年发电量</f>
        <v>0.11874288306094202</v>
      </c>
      <c r="E13" s="304" t="s">
        <v>14</v>
      </c>
      <c r="F13" s="252">
        <v>16</v>
      </c>
      <c r="G13" s="311" t="s">
        <v>27</v>
      </c>
      <c r="H13" s="348">
        <f>H38</f>
        <v>2079.3248881671884</v>
      </c>
      <c r="I13" s="313" t="s">
        <v>15</v>
      </c>
    </row>
    <row r="14" spans="2:9" ht="14.6" x14ac:dyDescent="0.35">
      <c r="B14" s="302">
        <v>9</v>
      </c>
      <c r="C14" s="303" t="s">
        <v>28</v>
      </c>
      <c r="D14" s="345">
        <f>D12/装机容量</f>
        <v>288.66394872115006</v>
      </c>
      <c r="E14" s="307" t="s">
        <v>29</v>
      </c>
      <c r="F14" s="252">
        <v>17</v>
      </c>
      <c r="G14" s="311" t="s">
        <v>30</v>
      </c>
      <c r="H14" s="346">
        <f>H40</f>
        <v>41907.577511623822</v>
      </c>
      <c r="I14" s="305" t="s">
        <v>11</v>
      </c>
    </row>
    <row r="15" spans="2:9" ht="14.6" thickBot="1" x14ac:dyDescent="0.4">
      <c r="B15" s="316"/>
      <c r="C15" s="317"/>
      <c r="D15" s="349"/>
      <c r="E15" s="318"/>
      <c r="F15" s="319">
        <v>18</v>
      </c>
      <c r="G15" s="317" t="s">
        <v>352</v>
      </c>
      <c r="H15" s="349">
        <f>参数表!C27</f>
        <v>15</v>
      </c>
      <c r="I15" s="320" t="s">
        <v>31</v>
      </c>
    </row>
    <row r="18" spans="2:11" ht="20.149999999999999" x14ac:dyDescent="0.3">
      <c r="E18" s="491" t="s">
        <v>275</v>
      </c>
      <c r="F18" s="491"/>
      <c r="G18" s="491"/>
    </row>
    <row r="19" spans="2:11" ht="14.6" thickBot="1" x14ac:dyDescent="0.35">
      <c r="E19" s="187"/>
    </row>
    <row r="20" spans="2:11" x14ac:dyDescent="0.3">
      <c r="B20" s="188" t="s">
        <v>1</v>
      </c>
      <c r="C20" s="189" t="s">
        <v>2</v>
      </c>
      <c r="D20" s="190" t="s">
        <v>3</v>
      </c>
      <c r="E20" s="195" t="s">
        <v>4</v>
      </c>
      <c r="F20" s="188" t="s">
        <v>1</v>
      </c>
      <c r="G20" s="189" t="s">
        <v>2</v>
      </c>
      <c r="H20" s="190" t="s">
        <v>3</v>
      </c>
      <c r="I20" s="195" t="s">
        <v>4</v>
      </c>
    </row>
    <row r="21" spans="2:11" ht="14.6" x14ac:dyDescent="0.35">
      <c r="B21" s="182">
        <v>1</v>
      </c>
      <c r="C21" s="181" t="s">
        <v>5</v>
      </c>
      <c r="D21" s="351">
        <f>参数表!C2</f>
        <v>2</v>
      </c>
      <c r="E21" s="193" t="s">
        <v>6</v>
      </c>
      <c r="F21" s="83"/>
      <c r="G21" s="186" t="s">
        <v>18</v>
      </c>
      <c r="H21" s="61"/>
      <c r="I21" s="120"/>
    </row>
    <row r="22" spans="2:11" ht="14.6" x14ac:dyDescent="0.35">
      <c r="B22" s="182">
        <v>2</v>
      </c>
      <c r="C22" s="303" t="s">
        <v>7</v>
      </c>
      <c r="D22" s="346">
        <f>H5</f>
        <v>4862</v>
      </c>
      <c r="E22" s="305" t="s">
        <v>8</v>
      </c>
      <c r="F22" s="302">
        <v>18</v>
      </c>
      <c r="G22" s="303" t="s">
        <v>34</v>
      </c>
      <c r="H22" s="346">
        <f>现金流量!I31</f>
        <v>0</v>
      </c>
      <c r="I22" s="305" t="s">
        <v>31</v>
      </c>
    </row>
    <row r="23" spans="2:11" ht="14.6" x14ac:dyDescent="0.35">
      <c r="B23" s="182">
        <v>3</v>
      </c>
      <c r="C23" s="303" t="s">
        <v>35</v>
      </c>
      <c r="D23" s="346">
        <f>投资计划!C5</f>
        <v>43190.123661714664</v>
      </c>
      <c r="E23" s="305" t="s">
        <v>11</v>
      </c>
      <c r="F23" s="302">
        <v>19</v>
      </c>
      <c r="G23" s="303" t="s">
        <v>21</v>
      </c>
      <c r="H23" s="346">
        <f>现金流量!L29</f>
        <v>-3.7478741779231051</v>
      </c>
      <c r="I23" s="313" t="s">
        <v>15</v>
      </c>
    </row>
    <row r="24" spans="2:11" ht="14.6" x14ac:dyDescent="0.35">
      <c r="B24" s="182">
        <v>4</v>
      </c>
      <c r="C24" s="303" t="s">
        <v>36</v>
      </c>
      <c r="D24" s="346">
        <f>投资计划!H7</f>
        <v>690.12366171466522</v>
      </c>
      <c r="E24" s="305" t="s">
        <v>11</v>
      </c>
      <c r="F24" s="302"/>
      <c r="G24" s="303" t="s">
        <v>37</v>
      </c>
      <c r="H24" s="346">
        <f>现金流量!L30</f>
        <v>-23459.715529289788</v>
      </c>
      <c r="I24" s="305" t="s">
        <v>11</v>
      </c>
    </row>
    <row r="25" spans="2:11" ht="14.6" x14ac:dyDescent="0.35">
      <c r="B25" s="182">
        <v>5</v>
      </c>
      <c r="C25" s="303" t="s">
        <v>38</v>
      </c>
      <c r="D25" s="346">
        <f>投资计划!C8</f>
        <v>60</v>
      </c>
      <c r="E25" s="305" t="s">
        <v>11</v>
      </c>
      <c r="F25" s="302">
        <v>20</v>
      </c>
      <c r="G25" s="321" t="s">
        <v>39</v>
      </c>
      <c r="H25" s="352"/>
      <c r="I25" s="305"/>
    </row>
    <row r="26" spans="2:11" ht="14.6" x14ac:dyDescent="0.35">
      <c r="B26" s="182">
        <v>6</v>
      </c>
      <c r="C26" s="303" t="s">
        <v>33</v>
      </c>
      <c r="D26" s="352"/>
      <c r="E26" s="404"/>
      <c r="F26" s="302">
        <v>20.100000000000001</v>
      </c>
      <c r="G26" s="311" t="s">
        <v>40</v>
      </c>
      <c r="H26" s="353">
        <f>现金流量!I29</f>
        <v>-3.0946558303526106</v>
      </c>
      <c r="I26" s="313" t="s">
        <v>15</v>
      </c>
      <c r="J26" s="196"/>
    </row>
    <row r="27" spans="2:11" ht="14.6" x14ac:dyDescent="0.35">
      <c r="B27" s="182">
        <v>6.1</v>
      </c>
      <c r="C27" s="321" t="s">
        <v>41</v>
      </c>
      <c r="D27" s="346">
        <f>D28/(1+增值税率)</f>
        <v>0.37256637168141593</v>
      </c>
      <c r="E27" s="305" t="s">
        <v>345</v>
      </c>
      <c r="F27" s="302">
        <v>20.2</v>
      </c>
      <c r="G27" s="311" t="s">
        <v>42</v>
      </c>
      <c r="H27" s="353">
        <f>现金流量!H61*100</f>
        <v>-7.1453351834737671</v>
      </c>
      <c r="I27" s="313" t="s">
        <v>15</v>
      </c>
    </row>
    <row r="28" spans="2:11" ht="14.6" x14ac:dyDescent="0.35">
      <c r="B28" s="182">
        <v>6.2</v>
      </c>
      <c r="C28" s="321" t="s">
        <v>43</v>
      </c>
      <c r="D28" s="346">
        <f>参数表!C6</f>
        <v>0.42099999999999999</v>
      </c>
      <c r="E28" s="305" t="s">
        <v>345</v>
      </c>
      <c r="F28" s="302">
        <v>20.3</v>
      </c>
      <c r="G28" s="311" t="s">
        <v>44</v>
      </c>
      <c r="H28" s="354">
        <f>现金流量!H97*100</f>
        <v>-7.1453351834737884</v>
      </c>
      <c r="I28" s="313" t="s">
        <v>15</v>
      </c>
    </row>
    <row r="29" spans="2:11" ht="14.6" x14ac:dyDescent="0.35">
      <c r="B29" s="83"/>
      <c r="C29" s="312" t="s">
        <v>22</v>
      </c>
      <c r="D29" s="358"/>
      <c r="E29" s="315"/>
      <c r="F29" s="302">
        <v>21</v>
      </c>
      <c r="G29" s="321" t="s">
        <v>45</v>
      </c>
      <c r="H29" s="352"/>
      <c r="I29" s="305"/>
      <c r="K29" s="124"/>
    </row>
    <row r="30" spans="2:11" ht="14.6" x14ac:dyDescent="0.35">
      <c r="B30" s="182">
        <v>7</v>
      </c>
      <c r="C30" s="303" t="s">
        <v>46</v>
      </c>
      <c r="D30" s="346">
        <f>损益!AA8</f>
        <v>36228.353982300898</v>
      </c>
      <c r="E30" s="305" t="s">
        <v>11</v>
      </c>
      <c r="F30" s="302">
        <v>21.1</v>
      </c>
      <c r="G30" s="322" t="s">
        <v>47</v>
      </c>
      <c r="H30" s="346">
        <f>现金流量!I30</f>
        <v>-21779.114192085122</v>
      </c>
      <c r="I30" s="313" t="s">
        <v>15</v>
      </c>
    </row>
    <row r="31" spans="2:11" ht="14.6" x14ac:dyDescent="0.35">
      <c r="B31" s="182">
        <v>8</v>
      </c>
      <c r="C31" s="303" t="s">
        <v>48</v>
      </c>
      <c r="D31" s="346">
        <f>成本!Y21</f>
        <v>85089.477683615652</v>
      </c>
      <c r="E31" s="305" t="s">
        <v>11</v>
      </c>
      <c r="F31" s="302">
        <v>21.2</v>
      </c>
      <c r="G31" s="322" t="s">
        <v>49</v>
      </c>
      <c r="H31" s="346">
        <f>现金流量!H62</f>
        <v>-7598.0270052081723</v>
      </c>
      <c r="I31" s="305" t="s">
        <v>11</v>
      </c>
      <c r="J31" s="196"/>
      <c r="K31" s="198"/>
    </row>
    <row r="32" spans="2:11" ht="14.6" x14ac:dyDescent="0.35">
      <c r="B32" s="182">
        <v>9</v>
      </c>
      <c r="C32" s="303" t="s">
        <v>50</v>
      </c>
      <c r="D32" s="346">
        <f>损益!AA9</f>
        <v>74.610416044093</v>
      </c>
      <c r="E32" s="305" t="s">
        <v>11</v>
      </c>
      <c r="F32" s="302">
        <v>21.3</v>
      </c>
      <c r="G32" s="322" t="s">
        <v>51</v>
      </c>
      <c r="H32" s="346">
        <f>现金流量!H98</f>
        <v>-7598.0270052081705</v>
      </c>
      <c r="I32" s="305" t="s">
        <v>11</v>
      </c>
      <c r="K32" s="198"/>
    </row>
    <row r="33" spans="2:11" ht="14.6" x14ac:dyDescent="0.35">
      <c r="B33" s="182">
        <v>10</v>
      </c>
      <c r="C33" s="303" t="s">
        <v>52</v>
      </c>
      <c r="D33" s="346">
        <f>损益!AA15</f>
        <v>-48562.68203713838</v>
      </c>
      <c r="E33" s="305" t="s">
        <v>11</v>
      </c>
      <c r="F33" s="302">
        <v>22</v>
      </c>
      <c r="G33" s="303" t="s">
        <v>19</v>
      </c>
      <c r="H33" s="346">
        <f>D10</f>
        <v>8.8708604816360896</v>
      </c>
      <c r="I33" s="323" t="s">
        <v>20</v>
      </c>
      <c r="K33" s="198"/>
    </row>
    <row r="34" spans="2:11" ht="14.6" x14ac:dyDescent="0.35">
      <c r="B34" s="182">
        <v>11</v>
      </c>
      <c r="C34" s="311" t="s">
        <v>24</v>
      </c>
      <c r="D34" s="345">
        <f>成本!Y22/25</f>
        <v>577.32789744230013</v>
      </c>
      <c r="E34" s="323" t="s">
        <v>11</v>
      </c>
      <c r="F34" s="302">
        <v>23</v>
      </c>
      <c r="G34" s="321" t="s">
        <v>53</v>
      </c>
      <c r="H34" s="345">
        <f>D33/总投资/25*100</f>
        <v>-4.4975728634170276</v>
      </c>
      <c r="I34" s="313" t="s">
        <v>15</v>
      </c>
      <c r="K34" s="198"/>
    </row>
    <row r="35" spans="2:11" ht="14.6" x14ac:dyDescent="0.35">
      <c r="B35" s="182">
        <v>12</v>
      </c>
      <c r="C35" s="303" t="s">
        <v>26</v>
      </c>
      <c r="D35" s="345">
        <f>D34/年发电量</f>
        <v>0.11874288306094202</v>
      </c>
      <c r="E35" s="305" t="s">
        <v>14</v>
      </c>
      <c r="F35" s="302">
        <v>24</v>
      </c>
      <c r="G35" s="321" t="s">
        <v>54</v>
      </c>
      <c r="H35" s="346">
        <f>(D32+D33+D30*增值税率)/总投资/25*100</f>
        <v>-4.0544811537274628</v>
      </c>
      <c r="I35" s="313" t="s">
        <v>15</v>
      </c>
    </row>
    <row r="36" spans="2:11" ht="14.6" x14ac:dyDescent="0.35">
      <c r="B36" s="182">
        <v>13</v>
      </c>
      <c r="C36" s="303" t="s">
        <v>28</v>
      </c>
      <c r="D36" s="345">
        <f>D34/装机容量</f>
        <v>288.66394872115006</v>
      </c>
      <c r="E36" s="323" t="s">
        <v>29</v>
      </c>
      <c r="F36" s="302">
        <v>25</v>
      </c>
      <c r="G36" s="311" t="s">
        <v>55</v>
      </c>
      <c r="H36" s="346">
        <f>损益!AA26/25/投资计划!C11*100</f>
        <v>0</v>
      </c>
      <c r="I36" s="313" t="s">
        <v>15</v>
      </c>
      <c r="K36" s="124"/>
    </row>
    <row r="37" spans="2:11" x14ac:dyDescent="0.3">
      <c r="B37" s="83"/>
      <c r="C37" s="186" t="s">
        <v>56</v>
      </c>
      <c r="D37" s="355"/>
      <c r="E37" s="120"/>
      <c r="F37" s="42"/>
      <c r="G37" s="186" t="s">
        <v>57</v>
      </c>
      <c r="H37" s="355"/>
      <c r="I37" s="120"/>
    </row>
    <row r="38" spans="2:11" x14ac:dyDescent="0.35">
      <c r="B38" s="182">
        <v>14</v>
      </c>
      <c r="C38" s="185" t="s">
        <v>16</v>
      </c>
      <c r="D38" s="351">
        <f>D9</f>
        <v>2431</v>
      </c>
      <c r="E38" s="197" t="s">
        <v>17</v>
      </c>
      <c r="F38" s="42">
        <v>26</v>
      </c>
      <c r="G38" s="185" t="s">
        <v>27</v>
      </c>
      <c r="H38" s="356">
        <f>资产负债!D28*100</f>
        <v>2079.3248881671884</v>
      </c>
      <c r="I38" s="194" t="s">
        <v>15</v>
      </c>
    </row>
    <row r="39" spans="2:11" ht="14.6" x14ac:dyDescent="0.35">
      <c r="B39" s="182">
        <v>15</v>
      </c>
      <c r="C39" s="181" t="s">
        <v>19</v>
      </c>
      <c r="D39" s="345">
        <f>D23/D22</f>
        <v>8.8832010822119845</v>
      </c>
      <c r="E39" s="197" t="s">
        <v>20</v>
      </c>
      <c r="F39" s="182">
        <v>27</v>
      </c>
      <c r="G39" s="142" t="s">
        <v>58</v>
      </c>
      <c r="H39" s="351">
        <f>损益!AA16</f>
        <v>-15735.839777271902</v>
      </c>
      <c r="I39" s="197" t="s">
        <v>11</v>
      </c>
    </row>
    <row r="40" spans="2:11" ht="14.6" x14ac:dyDescent="0.35">
      <c r="B40" s="42">
        <v>16</v>
      </c>
      <c r="C40" s="142" t="s">
        <v>9</v>
      </c>
      <c r="D40" s="351">
        <f>参数表!C18</f>
        <v>21220</v>
      </c>
      <c r="E40" s="197" t="s">
        <v>59</v>
      </c>
      <c r="F40" s="42">
        <v>28</v>
      </c>
      <c r="G40" s="185" t="s">
        <v>30</v>
      </c>
      <c r="H40" s="357">
        <f>财务计划!C22</f>
        <v>41907.577511623822</v>
      </c>
      <c r="I40" s="193" t="s">
        <v>11</v>
      </c>
    </row>
    <row r="41" spans="2:11" ht="14.6" x14ac:dyDescent="0.35">
      <c r="B41" s="182">
        <v>17</v>
      </c>
      <c r="C41" s="142" t="s">
        <v>60</v>
      </c>
      <c r="D41" s="357">
        <f>参数表!C25*100</f>
        <v>20</v>
      </c>
      <c r="E41" s="405" t="s">
        <v>15</v>
      </c>
      <c r="F41" s="182">
        <v>29</v>
      </c>
      <c r="G41" s="142" t="s">
        <v>316</v>
      </c>
      <c r="H41" s="351">
        <f>参数表!C27</f>
        <v>15</v>
      </c>
      <c r="I41" s="193" t="s">
        <v>31</v>
      </c>
    </row>
    <row r="42" spans="2:11" x14ac:dyDescent="0.3">
      <c r="B42" s="83"/>
      <c r="C42" s="186" t="s">
        <v>350</v>
      </c>
      <c r="D42" s="84"/>
      <c r="E42" s="406"/>
      <c r="F42" s="42">
        <v>30</v>
      </c>
      <c r="G42" s="142" t="s">
        <v>315</v>
      </c>
      <c r="H42" s="351">
        <f>参数表!C27</f>
        <v>15</v>
      </c>
      <c r="I42" s="197" t="s">
        <v>31</v>
      </c>
    </row>
    <row r="43" spans="2:11" x14ac:dyDescent="0.35">
      <c r="B43" s="191"/>
      <c r="C43" s="459" t="s">
        <v>351</v>
      </c>
      <c r="D43" s="460">
        <f>投资计划!B27</f>
        <v>8638.0247323429339</v>
      </c>
      <c r="E43" s="359" t="s">
        <v>333</v>
      </c>
      <c r="F43" s="182">
        <v>31</v>
      </c>
      <c r="G43" s="142" t="s">
        <v>61</v>
      </c>
      <c r="H43" s="351">
        <f>还贷!Y29</f>
        <v>-0.33395728350098658</v>
      </c>
      <c r="I43" s="120"/>
    </row>
    <row r="44" spans="2:11" x14ac:dyDescent="0.35">
      <c r="B44" s="368"/>
      <c r="C44" s="459" t="s">
        <v>365</v>
      </c>
      <c r="D44" s="460">
        <f>估值结果!B11-估值结果!B14</f>
        <v>-8243.1354001733471</v>
      </c>
      <c r="E44" s="359" t="s">
        <v>333</v>
      </c>
      <c r="F44" s="182">
        <v>32</v>
      </c>
      <c r="G44" s="369" t="s">
        <v>62</v>
      </c>
      <c r="H44" s="351">
        <f>还贷!Y32</f>
        <v>0.42571535064076999</v>
      </c>
      <c r="I44" s="371"/>
    </row>
    <row r="45" spans="2:11" x14ac:dyDescent="0.35">
      <c r="B45" s="368"/>
      <c r="C45" s="461" t="s">
        <v>363</v>
      </c>
      <c r="D45" s="460">
        <f>((参数表!C63-参数表!C64)*参数表!C2-参数表!C63*参数表!C2/(1+12%)*参数表!C65-((参数表!C63-参数表!C64)*参数表!C2/(1+12%)*12%*1.12))*(1-参数表!C62)</f>
        <v>17934.332142857143</v>
      </c>
      <c r="E45" s="407"/>
      <c r="F45" s="370"/>
      <c r="G45" s="369" t="s">
        <v>474</v>
      </c>
      <c r="H45" s="469">
        <f>现金流量!Y20/总投资/25</f>
        <v>-1.3998215538532534E-2</v>
      </c>
      <c r="I45" s="371"/>
    </row>
    <row r="46" spans="2:11" ht="14.6" thickBot="1" x14ac:dyDescent="0.35">
      <c r="B46" s="129"/>
      <c r="C46" s="462" t="s">
        <v>364</v>
      </c>
      <c r="D46" s="463">
        <f>D44+D45</f>
        <v>9691.1967426837964</v>
      </c>
      <c r="E46" s="408" t="s">
        <v>333</v>
      </c>
      <c r="F46" s="409"/>
      <c r="G46" s="410"/>
      <c r="H46" s="410"/>
      <c r="I46" s="121"/>
    </row>
    <row r="47" spans="2:11" x14ac:dyDescent="0.3">
      <c r="B47" s="84"/>
      <c r="C47" s="183"/>
      <c r="D47" s="184"/>
      <c r="E47" s="84"/>
      <c r="F47" s="184"/>
      <c r="G47" s="183"/>
      <c r="H47" s="192"/>
      <c r="I47" s="84"/>
    </row>
  </sheetData>
  <mergeCells count="2">
    <mergeCell ref="E2:G2"/>
    <mergeCell ref="E18:G18"/>
  </mergeCells>
  <phoneticPr fontId="61" type="noConversion"/>
  <pageMargins left="0.75" right="0.75" top="1" bottom="1" header="0.5" footer="0.5"/>
  <pageSetup paperSize="9" scale="9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98C60-FC5A-4D79-8035-294F257673AB}">
  <dimension ref="A1:T40"/>
  <sheetViews>
    <sheetView topLeftCell="A12" zoomScaleNormal="100" workbookViewId="0">
      <selection activeCell="P20" sqref="P20"/>
    </sheetView>
  </sheetViews>
  <sheetFormatPr defaultColWidth="9" defaultRowHeight="14.15" x14ac:dyDescent="0.3"/>
  <cols>
    <col min="1" max="1" width="13.85546875" style="178" bestFit="1" customWidth="1"/>
    <col min="2" max="2" width="20.5" style="178" customWidth="1"/>
    <col min="3" max="3" width="11.7109375" style="178" bestFit="1" customWidth="1"/>
    <col min="4" max="4" width="10.35546875" style="179" hidden="1" customWidth="1"/>
    <col min="5" max="5" width="10.35546875" style="178" hidden="1" customWidth="1"/>
    <col min="6" max="7" width="10.35546875" style="178" customWidth="1"/>
    <col min="8" max="8" width="10.35546875" style="179" customWidth="1"/>
    <col min="9" max="11" width="10.35546875" style="178" customWidth="1"/>
    <col min="12" max="12" width="7.35546875" style="178" customWidth="1"/>
    <col min="13" max="13" width="7" style="178" customWidth="1"/>
    <col min="14" max="14" width="7.5703125" style="178" bestFit="1" customWidth="1"/>
    <col min="15" max="15" width="9.5703125" style="178" customWidth="1"/>
    <col min="16" max="16384" width="9" style="178"/>
  </cols>
  <sheetData>
    <row r="1" spans="1:20" ht="27.75" customHeight="1" x14ac:dyDescent="0.3">
      <c r="A1" s="492" t="s">
        <v>66</v>
      </c>
      <c r="B1" s="492"/>
      <c r="C1" s="492"/>
      <c r="D1" s="492"/>
      <c r="E1" s="492"/>
      <c r="F1" s="492"/>
      <c r="G1" s="492"/>
      <c r="H1" s="492"/>
      <c r="I1" s="262"/>
      <c r="J1" s="262"/>
      <c r="K1" s="262"/>
      <c r="L1" s="262"/>
      <c r="M1" s="262"/>
      <c r="N1" s="262"/>
      <c r="O1" s="124"/>
    </row>
    <row r="2" spans="1:20" s="176" customFormat="1" ht="24" customHeight="1" x14ac:dyDescent="0.3">
      <c r="A2" s="263" t="s">
        <v>1</v>
      </c>
      <c r="B2" s="263" t="s">
        <v>67</v>
      </c>
      <c r="C2" s="263" t="s">
        <v>68</v>
      </c>
      <c r="D2" s="264">
        <v>1</v>
      </c>
      <c r="E2" s="264">
        <v>2</v>
      </c>
      <c r="F2" s="264">
        <v>1</v>
      </c>
      <c r="G2" s="264">
        <v>2</v>
      </c>
      <c r="H2" s="263" t="s">
        <v>69</v>
      </c>
      <c r="I2" s="241"/>
    </row>
    <row r="3" spans="1:20" ht="24" customHeight="1" x14ac:dyDescent="0.3">
      <c r="A3" s="265"/>
      <c r="B3" s="266" t="s">
        <v>70</v>
      </c>
      <c r="C3" s="267">
        <v>1</v>
      </c>
      <c r="D3" s="268">
        <f>aa</f>
        <v>0</v>
      </c>
      <c r="E3" s="268">
        <f>ab</f>
        <v>0</v>
      </c>
      <c r="F3" s="268">
        <f>ac</f>
        <v>1</v>
      </c>
      <c r="G3" s="269">
        <v>0</v>
      </c>
      <c r="H3" s="269">
        <v>1</v>
      </c>
    </row>
    <row r="4" spans="1:20" ht="24" customHeight="1" x14ac:dyDescent="0.3">
      <c r="A4" s="265"/>
      <c r="B4" s="266" t="s">
        <v>71</v>
      </c>
      <c r="C4" s="267">
        <v>1</v>
      </c>
      <c r="D4" s="271">
        <f>D11/$C$11</f>
        <v>0</v>
      </c>
      <c r="E4" s="272">
        <f>E11/$C$11</f>
        <v>0</v>
      </c>
      <c r="F4" s="272">
        <f>F11/$C$11</f>
        <v>1</v>
      </c>
      <c r="G4" s="272">
        <f>G11/$C$11</f>
        <v>0</v>
      </c>
      <c r="H4" s="269">
        <f>SUM(D4:G4)</f>
        <v>1</v>
      </c>
    </row>
    <row r="5" spans="1:20" s="177" customFormat="1" ht="32.25" customHeight="1" x14ac:dyDescent="0.3">
      <c r="A5" s="273">
        <v>1</v>
      </c>
      <c r="B5" s="274" t="s">
        <v>35</v>
      </c>
      <c r="C5" s="275">
        <f>SUM(C6:C8)</f>
        <v>43190.123661714664</v>
      </c>
      <c r="D5" s="276">
        <f>D6+D7+D8</f>
        <v>0</v>
      </c>
      <c r="E5" s="276">
        <f>E6+E7+E8</f>
        <v>0</v>
      </c>
      <c r="F5" s="276">
        <f>F6+F7+F8</f>
        <v>43130.123661714664</v>
      </c>
      <c r="G5" s="276">
        <f>G6+G7+G8</f>
        <v>60</v>
      </c>
      <c r="H5" s="277">
        <f>SUM(D5:G5)</f>
        <v>43190.123661714664</v>
      </c>
    </row>
    <row r="6" spans="1:20" ht="32.25" customHeight="1" x14ac:dyDescent="0.3">
      <c r="A6" s="266">
        <v>1.1000000000000001</v>
      </c>
      <c r="B6" s="266" t="s">
        <v>72</v>
      </c>
      <c r="C6" s="278">
        <f>指标汇总!H6</f>
        <v>42440</v>
      </c>
      <c r="D6" s="278">
        <f>$C$6*D3</f>
        <v>0</v>
      </c>
      <c r="E6" s="278">
        <f>$C$6*E3</f>
        <v>0</v>
      </c>
      <c r="F6" s="278">
        <f>$C$6*F3</f>
        <v>42440</v>
      </c>
      <c r="G6" s="278">
        <f>成本!D54</f>
        <v>0</v>
      </c>
      <c r="H6" s="278">
        <f>SUM(D6:G6)</f>
        <v>42440</v>
      </c>
      <c r="I6" s="180"/>
    </row>
    <row r="7" spans="1:20" ht="32.25" customHeight="1" x14ac:dyDescent="0.3">
      <c r="A7" s="279">
        <v>1.2</v>
      </c>
      <c r="B7" s="280" t="s">
        <v>36</v>
      </c>
      <c r="C7" s="278">
        <f>B32</f>
        <v>690.12366171466522</v>
      </c>
      <c r="D7" s="281">
        <f>C32</f>
        <v>0</v>
      </c>
      <c r="E7" s="281">
        <f>F32</f>
        <v>0</v>
      </c>
      <c r="F7" s="282">
        <f>G32</f>
        <v>690.12366171466522</v>
      </c>
      <c r="G7" s="282"/>
      <c r="H7" s="283">
        <f>SUM(D7:G7)</f>
        <v>690.12366171466522</v>
      </c>
    </row>
    <row r="8" spans="1:20" ht="32.25" customHeight="1" x14ac:dyDescent="0.3">
      <c r="A8" s="279">
        <v>1.3</v>
      </c>
      <c r="B8" s="280" t="s">
        <v>38</v>
      </c>
      <c r="C8" s="284">
        <f>流动资金总额</f>
        <v>60</v>
      </c>
      <c r="D8" s="281">
        <f>SUM(D13,D18)</f>
        <v>0</v>
      </c>
      <c r="E8" s="282">
        <f>SUM(E13,E18)</f>
        <v>0</v>
      </c>
      <c r="F8" s="282">
        <f>SUM(F13,F18)</f>
        <v>0</v>
      </c>
      <c r="G8" s="282">
        <f>SUM(G13,G18)</f>
        <v>60</v>
      </c>
      <c r="H8" s="285">
        <f>SUM(D8:G8)</f>
        <v>60</v>
      </c>
    </row>
    <row r="9" spans="1:20" ht="32.25" customHeight="1" x14ac:dyDescent="0.3">
      <c r="A9" s="279"/>
      <c r="B9" s="280" t="s">
        <v>73</v>
      </c>
      <c r="C9" s="286">
        <f>C6+C7</f>
        <v>43130.123661714664</v>
      </c>
      <c r="D9" s="281"/>
      <c r="E9" s="282"/>
      <c r="F9" s="282"/>
      <c r="G9" s="282"/>
      <c r="H9" s="285"/>
    </row>
    <row r="10" spans="1:20" s="177" customFormat="1" ht="32.25" customHeight="1" x14ac:dyDescent="0.3">
      <c r="A10" s="273">
        <v>2</v>
      </c>
      <c r="B10" s="274" t="s">
        <v>74</v>
      </c>
      <c r="C10" s="275">
        <f>SUM(C11,C14)</f>
        <v>43190.123661714671</v>
      </c>
      <c r="D10" s="287">
        <f>SUM(D11,D14)</f>
        <v>0</v>
      </c>
      <c r="E10" s="275">
        <f>SUM(E11,E14)</f>
        <v>0</v>
      </c>
      <c r="F10" s="275">
        <f>SUM(F11,F14)</f>
        <v>43118.123661714664</v>
      </c>
      <c r="G10" s="275">
        <f>SUM(G11,G14)</f>
        <v>60</v>
      </c>
      <c r="H10" s="288">
        <f>SUM(D10:G10)+D17</f>
        <v>43178.123661714664</v>
      </c>
      <c r="L10" s="178"/>
      <c r="M10" s="178"/>
      <c r="N10" s="178"/>
      <c r="O10" s="178"/>
      <c r="P10" s="178"/>
    </row>
    <row r="11" spans="1:20" s="176" customFormat="1" ht="32.25" customHeight="1" x14ac:dyDescent="0.3">
      <c r="A11" s="289">
        <v>2.1</v>
      </c>
      <c r="B11" s="290" t="s">
        <v>75</v>
      </c>
      <c r="C11" s="291">
        <f>C12+C13</f>
        <v>8626.0247323429339</v>
      </c>
      <c r="D11" s="292">
        <f>D12+D13</f>
        <v>0</v>
      </c>
      <c r="E11" s="292">
        <f>E12+E13</f>
        <v>0</v>
      </c>
      <c r="F11" s="292">
        <f>SUM(F12:F13)</f>
        <v>8626.0247323429339</v>
      </c>
      <c r="G11" s="292">
        <f>SUM(G12:G13)</f>
        <v>0</v>
      </c>
      <c r="H11" s="293">
        <f>SUM(D11:G11)</f>
        <v>8626.0247323429339</v>
      </c>
      <c r="I11" s="360">
        <f>C11/C5</f>
        <v>0.19972215870243881</v>
      </c>
      <c r="M11" s="178"/>
      <c r="N11" s="178"/>
      <c r="O11" s="178"/>
      <c r="P11" s="178"/>
      <c r="Q11" s="178"/>
    </row>
    <row r="12" spans="1:20" ht="32.25" customHeight="1" x14ac:dyDescent="0.3">
      <c r="A12" s="279" t="s">
        <v>76</v>
      </c>
      <c r="B12" s="294" t="s">
        <v>77</v>
      </c>
      <c r="C12" s="296">
        <f>C9*参数表!C25</f>
        <v>8626.0247323429339</v>
      </c>
      <c r="D12" s="286">
        <v>0</v>
      </c>
      <c r="E12" s="286">
        <v>0</v>
      </c>
      <c r="F12" s="281">
        <f>C12*F3</f>
        <v>8626.0247323429339</v>
      </c>
      <c r="G12" s="281">
        <f>C12*G3</f>
        <v>0</v>
      </c>
      <c r="H12" s="295">
        <f>SUM(D12:G12)</f>
        <v>8626.0247323429339</v>
      </c>
    </row>
    <row r="13" spans="1:20" ht="32.25" customHeight="1" x14ac:dyDescent="0.3">
      <c r="A13" s="279" t="s">
        <v>78</v>
      </c>
      <c r="B13" s="294" t="s">
        <v>79</v>
      </c>
      <c r="C13" s="286">
        <f>C8*0%</f>
        <v>0</v>
      </c>
      <c r="D13" s="281"/>
      <c r="E13" s="282"/>
      <c r="F13" s="282"/>
      <c r="G13" s="281">
        <f>C13</f>
        <v>0</v>
      </c>
      <c r="H13" s="295">
        <f>SUM(D13:G13)</f>
        <v>0</v>
      </c>
    </row>
    <row r="14" spans="1:20" s="176" customFormat="1" ht="32.25" customHeight="1" x14ac:dyDescent="0.3">
      <c r="A14" s="289">
        <v>2.2000000000000002</v>
      </c>
      <c r="B14" s="290" t="s">
        <v>80</v>
      </c>
      <c r="C14" s="275">
        <f>SUM(C15:C19)</f>
        <v>34564.098929371736</v>
      </c>
      <c r="D14" s="287">
        <f>SUM(D15:D19)</f>
        <v>0</v>
      </c>
      <c r="E14" s="292">
        <f>SUM(E15:E19)</f>
        <v>0</v>
      </c>
      <c r="F14" s="292">
        <f>F15+F18</f>
        <v>34492.098929371728</v>
      </c>
      <c r="G14" s="292">
        <f>SUM(G15:G19)</f>
        <v>60</v>
      </c>
      <c r="H14" s="293">
        <f>SUM(D14:G14)</f>
        <v>34552.098929371728</v>
      </c>
      <c r="P14" s="178"/>
      <c r="Q14" s="178"/>
      <c r="R14" s="178"/>
      <c r="S14" s="178"/>
      <c r="T14" s="178"/>
    </row>
    <row r="15" spans="1:20" ht="32.25" customHeight="1" x14ac:dyDescent="0.3">
      <c r="A15" s="279" t="s">
        <v>81</v>
      </c>
      <c r="B15" s="294" t="s">
        <v>82</v>
      </c>
      <c r="C15" s="282">
        <f>C9*(1-参数表!C25)</f>
        <v>34504.098929371736</v>
      </c>
      <c r="D15" s="281">
        <f>D16+D17</f>
        <v>0</v>
      </c>
      <c r="E15" s="282">
        <f>SUM(E7,E16)</f>
        <v>0</v>
      </c>
      <c r="F15" s="282">
        <f>F16+F17</f>
        <v>34492.098929371728</v>
      </c>
      <c r="G15" s="282">
        <f>SUM(G7,G16)</f>
        <v>0</v>
      </c>
      <c r="H15" s="295">
        <f>SUM(D15:G15)</f>
        <v>34492.098929371728</v>
      </c>
      <c r="I15" s="180"/>
      <c r="J15" s="180"/>
      <c r="K15" s="180"/>
      <c r="L15" s="180"/>
      <c r="M15" s="180"/>
      <c r="N15" s="180"/>
      <c r="O15" s="180"/>
      <c r="P15" s="180"/>
      <c r="Q15" s="180"/>
      <c r="R15" s="180"/>
      <c r="S15" s="180"/>
      <c r="T15" s="180"/>
    </row>
    <row r="16" spans="1:20" ht="32.25" customHeight="1" x14ac:dyDescent="0.3">
      <c r="A16" s="279" t="s">
        <v>343</v>
      </c>
      <c r="B16" s="294" t="s">
        <v>88</v>
      </c>
      <c r="C16" s="286"/>
      <c r="D16" s="281">
        <f>C31</f>
        <v>0</v>
      </c>
      <c r="E16" s="281">
        <f>F31</f>
        <v>0</v>
      </c>
      <c r="F16" s="281">
        <f>G31</f>
        <v>33801.975267657064</v>
      </c>
      <c r="G16" s="282">
        <f>G6-G12</f>
        <v>0</v>
      </c>
      <c r="H16" s="295"/>
      <c r="I16" s="180"/>
      <c r="J16" s="180"/>
      <c r="K16" s="180"/>
      <c r="L16" s="180"/>
      <c r="M16" s="180"/>
      <c r="N16" s="180"/>
      <c r="O16" s="180"/>
      <c r="P16" s="180"/>
      <c r="Q16" s="180"/>
      <c r="R16" s="180"/>
      <c r="S16" s="180"/>
      <c r="T16" s="180"/>
    </row>
    <row r="17" spans="1:20" ht="32.25" customHeight="1" x14ac:dyDescent="0.3">
      <c r="A17" s="279" t="s">
        <v>344</v>
      </c>
      <c r="B17" s="294" t="s">
        <v>89</v>
      </c>
      <c r="C17" s="286"/>
      <c r="D17" s="281">
        <f>C32</f>
        <v>0</v>
      </c>
      <c r="E17" s="281">
        <f>F32</f>
        <v>0</v>
      </c>
      <c r="F17" s="281">
        <f>G32</f>
        <v>690.12366171466522</v>
      </c>
      <c r="G17" s="282">
        <f>G15-G16</f>
        <v>0</v>
      </c>
      <c r="H17" s="293"/>
      <c r="I17" s="180"/>
      <c r="J17" s="180"/>
      <c r="K17" s="180"/>
      <c r="L17" s="180"/>
      <c r="M17" s="180"/>
      <c r="N17" s="180"/>
      <c r="O17" s="180"/>
      <c r="P17" s="180"/>
      <c r="Q17" s="180"/>
      <c r="R17" s="180"/>
      <c r="S17" s="180"/>
      <c r="T17" s="180"/>
    </row>
    <row r="18" spans="1:20" ht="32.25" customHeight="1" x14ac:dyDescent="0.3">
      <c r="A18" s="279" t="s">
        <v>83</v>
      </c>
      <c r="B18" s="294" t="s">
        <v>84</v>
      </c>
      <c r="C18" s="296">
        <f>C8*100%</f>
        <v>60</v>
      </c>
      <c r="D18" s="281"/>
      <c r="E18" s="282"/>
      <c r="F18" s="282"/>
      <c r="G18" s="282">
        <f>C18</f>
        <v>60</v>
      </c>
      <c r="H18" s="295">
        <f>SUM(D18:G18)</f>
        <v>60</v>
      </c>
      <c r="I18" s="180"/>
      <c r="L18" s="180"/>
      <c r="O18" s="180"/>
      <c r="R18" s="180"/>
    </row>
    <row r="19" spans="1:20" ht="32.25" customHeight="1" x14ac:dyDescent="0.3">
      <c r="A19" s="279" t="s">
        <v>85</v>
      </c>
      <c r="B19" s="294" t="s">
        <v>86</v>
      </c>
      <c r="C19" s="286"/>
      <c r="D19" s="268"/>
      <c r="E19" s="269"/>
      <c r="F19" s="269"/>
      <c r="G19" s="282"/>
      <c r="H19" s="293">
        <f>SUM(D19:G19)</f>
        <v>0</v>
      </c>
    </row>
    <row r="20" spans="1:20" s="176" customFormat="1" ht="32.25" customHeight="1" x14ac:dyDescent="0.3">
      <c r="A20" s="289">
        <v>2.2999999999999998</v>
      </c>
      <c r="B20" s="290" t="s">
        <v>87</v>
      </c>
      <c r="C20" s="275"/>
      <c r="D20" s="268"/>
      <c r="E20" s="269"/>
      <c r="F20" s="292"/>
      <c r="G20" s="282">
        <f>G7</f>
        <v>0</v>
      </c>
      <c r="H20" s="293">
        <f>SUM(D20:G20)</f>
        <v>0</v>
      </c>
    </row>
    <row r="22" spans="1:20" x14ac:dyDescent="0.3">
      <c r="A22" s="124" t="s">
        <v>346</v>
      </c>
    </row>
    <row r="23" spans="1:20" x14ac:dyDescent="0.3">
      <c r="A23" s="324" t="s">
        <v>294</v>
      </c>
      <c r="B23" s="270"/>
      <c r="C23" s="324">
        <v>1</v>
      </c>
      <c r="D23" s="178"/>
      <c r="F23" s="324">
        <v>2</v>
      </c>
      <c r="G23" s="325">
        <v>3</v>
      </c>
      <c r="H23" s="270"/>
      <c r="I23" s="326"/>
      <c r="J23" s="326"/>
      <c r="K23" s="326"/>
      <c r="L23" s="326"/>
    </row>
    <row r="24" spans="1:20" x14ac:dyDescent="0.3">
      <c r="A24" s="327" t="s">
        <v>331</v>
      </c>
      <c r="B24" s="328">
        <f>J32</f>
        <v>43190.123661714664</v>
      </c>
      <c r="C24" s="324"/>
      <c r="D24" s="178"/>
      <c r="F24" s="325"/>
      <c r="G24" s="324"/>
      <c r="H24" s="326"/>
      <c r="I24" s="326"/>
      <c r="J24" s="326"/>
      <c r="K24" s="326"/>
      <c r="L24" s="326"/>
    </row>
    <row r="25" spans="1:20" x14ac:dyDescent="0.3">
      <c r="A25" s="327" t="s">
        <v>329</v>
      </c>
      <c r="B25" s="329">
        <f>J31</f>
        <v>43130.123661714664</v>
      </c>
      <c r="C25" s="329"/>
      <c r="D25" s="178"/>
      <c r="F25" s="326"/>
      <c r="G25" s="330"/>
      <c r="H25" s="326"/>
      <c r="I25" s="326"/>
      <c r="J25" s="326"/>
      <c r="K25" s="326"/>
      <c r="L25" s="326"/>
    </row>
    <row r="26" spans="1:20" x14ac:dyDescent="0.3">
      <c r="A26" s="330" t="s">
        <v>292</v>
      </c>
      <c r="B26" s="331">
        <f>参数表!C18*参数表!C2</f>
        <v>42440</v>
      </c>
      <c r="C26" s="329"/>
      <c r="D26" s="178"/>
      <c r="F26" s="326"/>
      <c r="G26" s="330"/>
      <c r="H26" s="326"/>
      <c r="I26" s="332" t="s">
        <v>295</v>
      </c>
      <c r="J26" s="333">
        <f>参数表!C26*(参数表!C30/12)</f>
        <v>4.083333333333334E-2</v>
      </c>
      <c r="K26" s="326"/>
      <c r="L26" s="326"/>
    </row>
    <row r="27" spans="1:20" x14ac:dyDescent="0.3">
      <c r="A27" s="330" t="s">
        <v>296</v>
      </c>
      <c r="B27" s="329">
        <f>B24*J27</f>
        <v>8638.0247323429339</v>
      </c>
      <c r="C27" s="329"/>
      <c r="D27" s="178"/>
      <c r="F27" s="326"/>
      <c r="G27" s="330"/>
      <c r="H27" s="326"/>
      <c r="I27" s="332" t="s">
        <v>297</v>
      </c>
      <c r="J27" s="334">
        <f>参数表!C25</f>
        <v>0.2</v>
      </c>
      <c r="K27" s="326"/>
      <c r="L27" s="326"/>
    </row>
    <row r="28" spans="1:20" x14ac:dyDescent="0.3">
      <c r="A28" s="330" t="s">
        <v>298</v>
      </c>
      <c r="B28" s="329">
        <f>B26-B27</f>
        <v>33801.975267657064</v>
      </c>
      <c r="C28" s="329"/>
      <c r="D28" s="178"/>
      <c r="F28" s="326"/>
      <c r="G28" s="330"/>
      <c r="H28" s="326"/>
      <c r="I28" s="332" t="s">
        <v>293</v>
      </c>
      <c r="J28" s="334">
        <v>0</v>
      </c>
      <c r="K28" s="334">
        <v>0</v>
      </c>
      <c r="L28" s="334">
        <v>1</v>
      </c>
    </row>
    <row r="29" spans="1:20" x14ac:dyDescent="0.3">
      <c r="A29" s="330" t="s">
        <v>299</v>
      </c>
      <c r="B29" s="335">
        <f>C29+F29+G29</f>
        <v>42440</v>
      </c>
      <c r="C29" s="329">
        <f>$B$26*J28</f>
        <v>0</v>
      </c>
      <c r="D29" s="178"/>
      <c r="F29" s="329">
        <f>$B$26*K28</f>
        <v>0</v>
      </c>
      <c r="G29" s="329">
        <f>$B$26*L28</f>
        <v>42440</v>
      </c>
      <c r="H29" s="326"/>
      <c r="I29" s="336" t="s">
        <v>326</v>
      </c>
      <c r="J29" s="337">
        <f>C8</f>
        <v>60</v>
      </c>
      <c r="K29" s="334"/>
      <c r="L29" s="326"/>
    </row>
    <row r="30" spans="1:20" x14ac:dyDescent="0.3">
      <c r="A30" s="330" t="s">
        <v>300</v>
      </c>
      <c r="B30" s="335">
        <f>C30+F30+G30</f>
        <v>8638.0247323429339</v>
      </c>
      <c r="C30" s="329">
        <f>$B$27*J28</f>
        <v>0</v>
      </c>
      <c r="D30" s="178"/>
      <c r="F30" s="329">
        <f>$B$27*K28</f>
        <v>0</v>
      </c>
      <c r="G30" s="329">
        <f>$B$27*L28</f>
        <v>8638.0247323429339</v>
      </c>
      <c r="H30" s="326"/>
      <c r="I30" s="336" t="s">
        <v>327</v>
      </c>
      <c r="J30" s="337">
        <f>B26</f>
        <v>42440</v>
      </c>
      <c r="K30" s="334"/>
      <c r="L30" s="326"/>
    </row>
    <row r="31" spans="1:20" x14ac:dyDescent="0.3">
      <c r="A31" s="330" t="s">
        <v>301</v>
      </c>
      <c r="B31" s="335">
        <f>C31+F31+G31</f>
        <v>33801.975267657064</v>
      </c>
      <c r="C31" s="329">
        <f>C29-C30</f>
        <v>0</v>
      </c>
      <c r="D31" s="178"/>
      <c r="F31" s="329">
        <f>F29-F30</f>
        <v>0</v>
      </c>
      <c r="G31" s="329">
        <f>G29-G30</f>
        <v>33801.975267657064</v>
      </c>
      <c r="H31" s="326"/>
      <c r="I31" s="336" t="s">
        <v>328</v>
      </c>
      <c r="J31" s="338">
        <f>(j*(2+i)*(aa*(1+i)^2+ab*(1+i)+ac)+2*cc)/(b*(2+i)*(aa*(1+i)^2+ab*(1+i)+ac)+2*(1-b))-cc</f>
        <v>43130.123661714664</v>
      </c>
      <c r="K31" s="326"/>
      <c r="L31" s="338"/>
    </row>
    <row r="32" spans="1:20" x14ac:dyDescent="0.3">
      <c r="A32" s="330" t="s">
        <v>302</v>
      </c>
      <c r="B32" s="335">
        <f>C32+F32+G32</f>
        <v>690.12366171466522</v>
      </c>
      <c r="C32" s="329">
        <f>C31/2*J26</f>
        <v>0</v>
      </c>
      <c r="D32" s="178"/>
      <c r="F32" s="329">
        <f>(F31/2+C32+C31)*J26</f>
        <v>0</v>
      </c>
      <c r="G32" s="329">
        <f>(G31/2+SUM(C31:F32))*J26</f>
        <v>690.12366171466522</v>
      </c>
      <c r="H32" s="326"/>
      <c r="I32" s="336" t="s">
        <v>330</v>
      </c>
      <c r="J32" s="338">
        <f>J31+cc</f>
        <v>43190.123661714664</v>
      </c>
      <c r="K32" s="326"/>
      <c r="L32" s="326"/>
    </row>
    <row r="33" spans="2:11" x14ac:dyDescent="0.3">
      <c r="B33" s="229"/>
      <c r="C33" s="229"/>
      <c r="D33" s="229"/>
      <c r="E33" s="229"/>
      <c r="F33" s="229"/>
      <c r="G33" s="232"/>
      <c r="H33" s="230"/>
      <c r="I33" s="231"/>
      <c r="J33" s="231"/>
      <c r="K33" s="229"/>
    </row>
    <row r="37" spans="2:11" x14ac:dyDescent="0.3">
      <c r="D37" s="178"/>
      <c r="H37" s="178"/>
      <c r="I37" s="230"/>
      <c r="J37" s="229"/>
      <c r="K37" s="229"/>
    </row>
    <row r="40" spans="2:11" x14ac:dyDescent="0.3">
      <c r="D40" s="178"/>
      <c r="H40" s="178"/>
      <c r="I40" s="229"/>
      <c r="J40" s="229"/>
      <c r="K40" s="229"/>
    </row>
  </sheetData>
  <mergeCells count="1">
    <mergeCell ref="A1:H1"/>
  </mergeCells>
  <phoneticPr fontId="61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6476-8613-426D-9D2B-5D89206D9F5D}">
  <dimension ref="A1:AB81"/>
  <sheetViews>
    <sheetView zoomScaleNormal="100" zoomScaleSheetLayoutView="100" workbookViewId="0">
      <pane xSplit="4" ySplit="4" topLeftCell="F5" activePane="bottomRight" state="frozen"/>
      <selection pane="topRight"/>
      <selection pane="bottomLeft"/>
      <selection pane="bottomRight" activeCell="F23" sqref="F23"/>
    </sheetView>
  </sheetViews>
  <sheetFormatPr defaultColWidth="9" defaultRowHeight="14.15" x14ac:dyDescent="0.3"/>
  <cols>
    <col min="1" max="1" width="3.5703125" style="34" customWidth="1"/>
    <col min="2" max="2" width="5.85546875" style="34" customWidth="1"/>
    <col min="3" max="3" width="25.7109375" style="158" customWidth="1"/>
    <col min="4" max="5" width="6.7109375" style="34" hidden="1" customWidth="1"/>
    <col min="6" max="6" width="6.7109375" style="34" customWidth="1"/>
    <col min="7" max="7" width="12.0703125" style="34" bestFit="1" customWidth="1"/>
    <col min="8" max="8" width="9.5" style="34" customWidth="1"/>
    <col min="9" max="9" width="8.85546875" style="34" customWidth="1"/>
    <col min="10" max="10" width="13" style="34" bestFit="1" customWidth="1"/>
    <col min="11" max="11" width="16.2109375" style="34" customWidth="1"/>
    <col min="12" max="12" width="8.85546875" style="34" customWidth="1"/>
    <col min="13" max="13" width="9.2109375" style="34" bestFit="1" customWidth="1"/>
    <col min="14" max="15" width="8.85546875" style="34" customWidth="1"/>
    <col min="16" max="16" width="9.0703125" style="34" customWidth="1"/>
    <col min="17" max="27" width="8.85546875" style="34" customWidth="1"/>
    <col min="28" max="16384" width="9" style="34"/>
  </cols>
  <sheetData>
    <row r="1" spans="2:27" ht="27" customHeight="1" x14ac:dyDescent="0.3">
      <c r="B1" s="493" t="s">
        <v>90</v>
      </c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</row>
    <row r="2" spans="2:27" ht="14.6" thickBot="1" x14ac:dyDescent="0.35">
      <c r="G2" s="242"/>
      <c r="H2" s="242"/>
      <c r="I2" s="242"/>
      <c r="J2" s="242"/>
      <c r="K2" s="242"/>
      <c r="L2" s="242"/>
      <c r="M2" s="242"/>
      <c r="N2" s="242"/>
      <c r="O2" s="242"/>
      <c r="P2" s="242"/>
      <c r="Q2" s="242"/>
      <c r="R2" s="242"/>
      <c r="S2" s="242"/>
      <c r="T2" s="242"/>
      <c r="U2" s="242"/>
      <c r="V2" s="242"/>
      <c r="W2" s="242"/>
      <c r="X2" s="242"/>
      <c r="Y2" s="242"/>
      <c r="Z2" s="242"/>
    </row>
    <row r="3" spans="2:27" ht="17.149999999999999" customHeight="1" x14ac:dyDescent="0.3">
      <c r="B3" s="497" t="s">
        <v>1</v>
      </c>
      <c r="C3" s="499" t="s">
        <v>64</v>
      </c>
      <c r="D3" s="40"/>
      <c r="E3" s="40"/>
      <c r="F3" s="40"/>
      <c r="G3" s="495" t="s">
        <v>91</v>
      </c>
      <c r="H3" s="496"/>
      <c r="I3" s="496"/>
      <c r="J3" s="496"/>
      <c r="K3" s="496"/>
      <c r="L3" s="496"/>
      <c r="M3" s="496"/>
      <c r="N3" s="496"/>
      <c r="O3" s="496"/>
      <c r="P3" s="496"/>
      <c r="Q3" s="496"/>
      <c r="R3" s="496"/>
      <c r="S3" s="496"/>
      <c r="T3" s="496"/>
      <c r="U3" s="496"/>
      <c r="V3" s="496"/>
      <c r="W3" s="496"/>
      <c r="X3" s="496"/>
      <c r="Y3" s="496"/>
      <c r="Z3" s="496"/>
      <c r="AA3" s="501" t="s">
        <v>68</v>
      </c>
    </row>
    <row r="4" spans="2:27" ht="17.149999999999999" customHeight="1" x14ac:dyDescent="0.3">
      <c r="B4" s="498"/>
      <c r="C4" s="500"/>
      <c r="D4" s="5" t="e">
        <f>成本!#REF!</f>
        <v>#REF!</v>
      </c>
      <c r="E4" s="5" t="e">
        <f>成本!#REF!</f>
        <v>#REF!</v>
      </c>
      <c r="F4" s="5">
        <f>参数表!C4</f>
        <v>2020</v>
      </c>
      <c r="G4" s="5">
        <f>参数表!D4</f>
        <v>2021</v>
      </c>
      <c r="H4" s="5">
        <f>参数表!E4</f>
        <v>2022</v>
      </c>
      <c r="I4" s="5">
        <f>参数表!F4</f>
        <v>2023</v>
      </c>
      <c r="J4" s="5">
        <f>参数表!G4</f>
        <v>2024</v>
      </c>
      <c r="K4" s="5">
        <f>参数表!H4</f>
        <v>2025</v>
      </c>
      <c r="L4" s="5">
        <f>参数表!I4</f>
        <v>2026</v>
      </c>
      <c r="M4" s="5">
        <f>参数表!J4</f>
        <v>2027</v>
      </c>
      <c r="N4" s="5">
        <f>参数表!K4</f>
        <v>2028</v>
      </c>
      <c r="O4" s="5">
        <f>参数表!L4</f>
        <v>2029</v>
      </c>
      <c r="P4" s="5">
        <f>参数表!M4</f>
        <v>2030</v>
      </c>
      <c r="Q4" s="5">
        <f>参数表!N4</f>
        <v>2031</v>
      </c>
      <c r="R4" s="5">
        <f>参数表!O4</f>
        <v>2032</v>
      </c>
      <c r="S4" s="5">
        <f>参数表!P4</f>
        <v>2033</v>
      </c>
      <c r="T4" s="5">
        <f>参数表!Q4</f>
        <v>2034</v>
      </c>
      <c r="U4" s="5">
        <f>参数表!R4</f>
        <v>2035</v>
      </c>
      <c r="V4" s="5">
        <f>参数表!S4</f>
        <v>2036</v>
      </c>
      <c r="W4" s="5">
        <f>参数表!T4</f>
        <v>2037</v>
      </c>
      <c r="X4" s="5">
        <f>参数表!U4</f>
        <v>2038</v>
      </c>
      <c r="Y4" s="5">
        <f>参数表!V4</f>
        <v>2039</v>
      </c>
      <c r="Z4" s="5">
        <f>参数表!W4</f>
        <v>2040</v>
      </c>
      <c r="AA4" s="502"/>
    </row>
    <row r="5" spans="2:27" ht="17.149999999999999" customHeight="1" x14ac:dyDescent="0.35">
      <c r="B5" s="42"/>
      <c r="C5" s="47" t="s">
        <v>92</v>
      </c>
      <c r="D5" s="127"/>
      <c r="E5" s="127"/>
      <c r="F5" s="127"/>
      <c r="G5" s="92">
        <f>参数表!$C$3*参数表!D5*参数表!$C$2</f>
        <v>4862</v>
      </c>
      <c r="H5" s="92">
        <f>参数表!$C$3*参数表!E5*参数表!$C$2</f>
        <v>4862</v>
      </c>
      <c r="I5" s="92">
        <f>参数表!$C$3*参数表!F5*参数表!$C$2</f>
        <v>4862</v>
      </c>
      <c r="J5" s="92">
        <f>参数表!$C$3*参数表!G5*参数表!$C$2</f>
        <v>4862</v>
      </c>
      <c r="K5" s="92">
        <f>参数表!$C$3*参数表!H5*参数表!$C$2</f>
        <v>4862</v>
      </c>
      <c r="L5" s="92">
        <f>参数表!$C$3*参数表!I5*参数表!$C$2</f>
        <v>4862</v>
      </c>
      <c r="M5" s="92">
        <f>参数表!$C$3*参数表!J5*参数表!$C$2</f>
        <v>4862</v>
      </c>
      <c r="N5" s="92">
        <f>参数表!$C$3*参数表!K5*参数表!$C$2</f>
        <v>4862</v>
      </c>
      <c r="O5" s="92">
        <f>参数表!$C$3*参数表!L5*参数表!$C$2</f>
        <v>4862</v>
      </c>
      <c r="P5" s="92">
        <f>参数表!$C$3*参数表!M5*参数表!$C$2</f>
        <v>4862</v>
      </c>
      <c r="Q5" s="92">
        <f>参数表!$C$3*参数表!N5*参数表!$C$2</f>
        <v>4862</v>
      </c>
      <c r="R5" s="92">
        <f>参数表!$C$3*参数表!O5*参数表!$C$2</f>
        <v>4862</v>
      </c>
      <c r="S5" s="92">
        <f>参数表!$C$3*参数表!P5*参数表!$C$2</f>
        <v>4862</v>
      </c>
      <c r="T5" s="92">
        <f>参数表!$C$3*参数表!Q5*参数表!$C$2</f>
        <v>4862</v>
      </c>
      <c r="U5" s="92">
        <f>参数表!$C$3*参数表!R5*参数表!$C$2</f>
        <v>4862</v>
      </c>
      <c r="V5" s="92">
        <f>参数表!$C$3*参数表!S5*参数表!$C$2</f>
        <v>4862</v>
      </c>
      <c r="W5" s="92">
        <f>参数表!$C$3*参数表!T5*参数表!$C$2</f>
        <v>4862</v>
      </c>
      <c r="X5" s="92">
        <f>参数表!$C$3*参数表!U5*参数表!$C$2</f>
        <v>4862</v>
      </c>
      <c r="Y5" s="92">
        <f>参数表!$C$3*参数表!V5*参数表!$C$2</f>
        <v>4862</v>
      </c>
      <c r="Z5" s="92">
        <f>参数表!$C$3*参数表!W5*参数表!$C$2</f>
        <v>4862</v>
      </c>
      <c r="AA5" s="174"/>
    </row>
    <row r="6" spans="2:27" ht="17.149999999999999" customHeight="1" x14ac:dyDescent="0.35">
      <c r="B6" s="42"/>
      <c r="C6" s="159" t="s">
        <v>93</v>
      </c>
      <c r="D6" s="127"/>
      <c r="E6" s="127"/>
      <c r="F6" s="127"/>
      <c r="G6" s="160">
        <f>参数表!$C$6</f>
        <v>0.42099999999999999</v>
      </c>
      <c r="H6" s="160">
        <f>参数表!$C$6</f>
        <v>0.42099999999999999</v>
      </c>
      <c r="I6" s="160">
        <f t="shared" ref="I6:T6" si="0">H6</f>
        <v>0.42099999999999999</v>
      </c>
      <c r="J6" s="160">
        <f t="shared" si="0"/>
        <v>0.42099999999999999</v>
      </c>
      <c r="K6" s="160">
        <f t="shared" si="0"/>
        <v>0.42099999999999999</v>
      </c>
      <c r="L6" s="160">
        <f t="shared" si="0"/>
        <v>0.42099999999999999</v>
      </c>
      <c r="M6" s="160">
        <f t="shared" si="0"/>
        <v>0.42099999999999999</v>
      </c>
      <c r="N6" s="160">
        <f t="shared" si="0"/>
        <v>0.42099999999999999</v>
      </c>
      <c r="O6" s="160">
        <f t="shared" si="0"/>
        <v>0.42099999999999999</v>
      </c>
      <c r="P6" s="160">
        <f t="shared" si="0"/>
        <v>0.42099999999999999</v>
      </c>
      <c r="Q6" s="160">
        <f t="shared" si="0"/>
        <v>0.42099999999999999</v>
      </c>
      <c r="R6" s="160">
        <f t="shared" si="0"/>
        <v>0.42099999999999999</v>
      </c>
      <c r="S6" s="160">
        <f t="shared" si="0"/>
        <v>0.42099999999999999</v>
      </c>
      <c r="T6" s="160">
        <f t="shared" si="0"/>
        <v>0.42099999999999999</v>
      </c>
      <c r="U6" s="160">
        <f t="shared" ref="U6:Z6" si="1">T6</f>
        <v>0.42099999999999999</v>
      </c>
      <c r="V6" s="160">
        <f t="shared" si="1"/>
        <v>0.42099999999999999</v>
      </c>
      <c r="W6" s="160">
        <f t="shared" si="1"/>
        <v>0.42099999999999999</v>
      </c>
      <c r="X6" s="160">
        <f t="shared" si="1"/>
        <v>0.42099999999999999</v>
      </c>
      <c r="Y6" s="160">
        <f t="shared" si="1"/>
        <v>0.42099999999999999</v>
      </c>
      <c r="Z6" s="160">
        <f t="shared" si="1"/>
        <v>0.42099999999999999</v>
      </c>
      <c r="AA6" s="175"/>
    </row>
    <row r="7" spans="2:27" ht="17.25" customHeight="1" x14ac:dyDescent="0.35">
      <c r="B7" s="42"/>
      <c r="C7" s="159" t="s">
        <v>94</v>
      </c>
      <c r="D7" s="127"/>
      <c r="E7" s="127"/>
      <c r="F7" s="127"/>
      <c r="G7" s="160">
        <f>G6/(1+增值税率)</f>
        <v>0.37256637168141593</v>
      </c>
      <c r="H7" s="160">
        <f>H6/(1+增值税率)</f>
        <v>0.37256637168141593</v>
      </c>
      <c r="I7" s="160">
        <f>H7</f>
        <v>0.37256637168141593</v>
      </c>
      <c r="J7" s="160">
        <f t="shared" ref="J7:S7" si="2">I7</f>
        <v>0.37256637168141593</v>
      </c>
      <c r="K7" s="160">
        <f t="shared" si="2"/>
        <v>0.37256637168141593</v>
      </c>
      <c r="L7" s="160">
        <f t="shared" si="2"/>
        <v>0.37256637168141593</v>
      </c>
      <c r="M7" s="160">
        <f t="shared" si="2"/>
        <v>0.37256637168141593</v>
      </c>
      <c r="N7" s="160">
        <f t="shared" si="2"/>
        <v>0.37256637168141593</v>
      </c>
      <c r="O7" s="160">
        <f t="shared" si="2"/>
        <v>0.37256637168141593</v>
      </c>
      <c r="P7" s="160">
        <f t="shared" si="2"/>
        <v>0.37256637168141593</v>
      </c>
      <c r="Q7" s="160">
        <f t="shared" si="2"/>
        <v>0.37256637168141593</v>
      </c>
      <c r="R7" s="160">
        <f t="shared" si="2"/>
        <v>0.37256637168141593</v>
      </c>
      <c r="S7" s="160">
        <f t="shared" si="2"/>
        <v>0.37256637168141593</v>
      </c>
      <c r="T7" s="160">
        <f t="shared" ref="T7:Z7" si="3">S7</f>
        <v>0.37256637168141593</v>
      </c>
      <c r="U7" s="160">
        <f t="shared" si="3"/>
        <v>0.37256637168141593</v>
      </c>
      <c r="V7" s="160">
        <f t="shared" si="3"/>
        <v>0.37256637168141593</v>
      </c>
      <c r="W7" s="160">
        <f t="shared" si="3"/>
        <v>0.37256637168141593</v>
      </c>
      <c r="X7" s="160">
        <f t="shared" si="3"/>
        <v>0.37256637168141593</v>
      </c>
      <c r="Y7" s="160">
        <f t="shared" si="3"/>
        <v>0.37256637168141593</v>
      </c>
      <c r="Z7" s="160">
        <f t="shared" si="3"/>
        <v>0.37256637168141593</v>
      </c>
      <c r="AA7" s="109" t="s">
        <v>95</v>
      </c>
    </row>
    <row r="8" spans="2:27" ht="17.149999999999999" customHeight="1" x14ac:dyDescent="0.35">
      <c r="B8" s="42">
        <v>1</v>
      </c>
      <c r="C8" s="200" t="s">
        <v>96</v>
      </c>
      <c r="D8" s="127"/>
      <c r="E8" s="127"/>
      <c r="F8" s="127"/>
      <c r="G8" s="49">
        <f>G5*G7</f>
        <v>1811.4176991150443</v>
      </c>
      <c r="H8" s="49">
        <f t="shared" ref="H8:Y8" si="4">H5*H7</f>
        <v>1811.4176991150443</v>
      </c>
      <c r="I8" s="49">
        <f t="shared" si="4"/>
        <v>1811.4176991150443</v>
      </c>
      <c r="J8" s="49">
        <f t="shared" si="4"/>
        <v>1811.4176991150443</v>
      </c>
      <c r="K8" s="49">
        <f t="shared" si="4"/>
        <v>1811.4176991150443</v>
      </c>
      <c r="L8" s="49">
        <f t="shared" si="4"/>
        <v>1811.4176991150443</v>
      </c>
      <c r="M8" s="49">
        <f t="shared" si="4"/>
        <v>1811.4176991150443</v>
      </c>
      <c r="N8" s="49">
        <f t="shared" si="4"/>
        <v>1811.4176991150443</v>
      </c>
      <c r="O8" s="49">
        <f t="shared" si="4"/>
        <v>1811.4176991150443</v>
      </c>
      <c r="P8" s="49">
        <f t="shared" si="4"/>
        <v>1811.4176991150443</v>
      </c>
      <c r="Q8" s="49">
        <f t="shared" si="4"/>
        <v>1811.4176991150443</v>
      </c>
      <c r="R8" s="49">
        <f t="shared" si="4"/>
        <v>1811.4176991150443</v>
      </c>
      <c r="S8" s="49">
        <f t="shared" si="4"/>
        <v>1811.4176991150443</v>
      </c>
      <c r="T8" s="49">
        <f t="shared" si="4"/>
        <v>1811.4176991150443</v>
      </c>
      <c r="U8" s="49">
        <f t="shared" si="4"/>
        <v>1811.4176991150443</v>
      </c>
      <c r="V8" s="49">
        <f t="shared" si="4"/>
        <v>1811.4176991150443</v>
      </c>
      <c r="W8" s="49">
        <f t="shared" si="4"/>
        <v>1811.4176991150443</v>
      </c>
      <c r="X8" s="49">
        <f t="shared" si="4"/>
        <v>1811.4176991150443</v>
      </c>
      <c r="Y8" s="49">
        <f t="shared" si="4"/>
        <v>1811.4176991150443</v>
      </c>
      <c r="Z8" s="49">
        <f>Z5*Z7</f>
        <v>1811.4176991150443</v>
      </c>
      <c r="AA8" s="106">
        <f t="shared" ref="AA8:AA15" si="5">SUM(D8:Z8)</f>
        <v>36228.353982300898</v>
      </c>
    </row>
    <row r="9" spans="2:27" ht="17.149999999999999" customHeight="1" x14ac:dyDescent="0.35">
      <c r="B9" s="42">
        <v>2</v>
      </c>
      <c r="C9" s="47" t="s">
        <v>97</v>
      </c>
      <c r="D9" s="127"/>
      <c r="E9" s="127"/>
      <c r="F9" s="127"/>
      <c r="G9" s="49">
        <f>G10+G11</f>
        <v>0</v>
      </c>
      <c r="H9" s="49">
        <f>H10+H11</f>
        <v>0</v>
      </c>
      <c r="I9" s="49">
        <f t="shared" ref="I9:Z9" si="6">I10+I11</f>
        <v>0</v>
      </c>
      <c r="J9" s="49">
        <f t="shared" si="6"/>
        <v>0</v>
      </c>
      <c r="K9" s="49">
        <f t="shared" si="6"/>
        <v>0</v>
      </c>
      <c r="L9" s="49">
        <f t="shared" si="6"/>
        <v>0</v>
      </c>
      <c r="M9" s="49">
        <f t="shared" si="6"/>
        <v>0</v>
      </c>
      <c r="N9" s="49">
        <f t="shared" si="6"/>
        <v>0</v>
      </c>
      <c r="O9" s="49">
        <f t="shared" si="6"/>
        <v>0</v>
      </c>
      <c r="P9" s="49">
        <f t="shared" si="6"/>
        <v>0</v>
      </c>
      <c r="Q9" s="49">
        <f t="shared" si="6"/>
        <v>0</v>
      </c>
      <c r="R9" s="49">
        <f t="shared" si="6"/>
        <v>0</v>
      </c>
      <c r="S9" s="49">
        <f t="shared" si="6"/>
        <v>0</v>
      </c>
      <c r="T9" s="49">
        <f t="shared" si="6"/>
        <v>0</v>
      </c>
      <c r="U9" s="49">
        <f t="shared" si="6"/>
        <v>0</v>
      </c>
      <c r="V9" s="49">
        <f t="shared" si="6"/>
        <v>0</v>
      </c>
      <c r="W9" s="49">
        <f t="shared" si="6"/>
        <v>3.9651257786062675</v>
      </c>
      <c r="X9" s="49">
        <f t="shared" si="6"/>
        <v>23.548430088495579</v>
      </c>
      <c r="Y9" s="49">
        <f t="shared" si="6"/>
        <v>23.548430088495579</v>
      </c>
      <c r="Z9" s="49">
        <f t="shared" si="6"/>
        <v>23.548430088495579</v>
      </c>
      <c r="AA9" s="106">
        <f t="shared" si="5"/>
        <v>74.610416044093</v>
      </c>
    </row>
    <row r="10" spans="2:27" ht="17.149999999999999" customHeight="1" x14ac:dyDescent="0.35">
      <c r="B10" s="201" t="s">
        <v>98</v>
      </c>
      <c r="C10" s="47" t="s">
        <v>336</v>
      </c>
      <c r="D10" s="127"/>
      <c r="E10" s="127"/>
      <c r="F10" s="127"/>
      <c r="G10" s="49">
        <f>G40*参数表!$C$33</f>
        <v>0</v>
      </c>
      <c r="H10" s="49">
        <f>H40*参数表!$C$33</f>
        <v>0</v>
      </c>
      <c r="I10" s="49">
        <f>I40*参数表!$C$33</f>
        <v>0</v>
      </c>
      <c r="J10" s="49">
        <f>J40*参数表!$C$33</f>
        <v>0</v>
      </c>
      <c r="K10" s="49">
        <f>K40*参数表!$C$33</f>
        <v>0</v>
      </c>
      <c r="L10" s="49">
        <f>L40*参数表!$C$33</f>
        <v>0</v>
      </c>
      <c r="M10" s="49">
        <f>M40*参数表!$C$33</f>
        <v>0</v>
      </c>
      <c r="N10" s="49">
        <f>N40*参数表!$C$33</f>
        <v>0</v>
      </c>
      <c r="O10" s="49">
        <f>O40*参数表!$C$33</f>
        <v>0</v>
      </c>
      <c r="P10" s="49">
        <f>P40*参数表!$C$33</f>
        <v>0</v>
      </c>
      <c r="Q10" s="49">
        <f>Q40*参数表!$C$33</f>
        <v>0</v>
      </c>
      <c r="R10" s="49">
        <f>R40*参数表!$C$33</f>
        <v>0</v>
      </c>
      <c r="S10" s="49">
        <f>S40*参数表!$C$33</f>
        <v>0</v>
      </c>
      <c r="T10" s="49">
        <f>T40*参数表!$C$33</f>
        <v>0</v>
      </c>
      <c r="U10" s="49">
        <f>U40*参数表!$C$33</f>
        <v>0</v>
      </c>
      <c r="V10" s="49">
        <f>V40*参数表!$C$33</f>
        <v>0</v>
      </c>
      <c r="W10" s="49">
        <f>W40*参数表!$C$33</f>
        <v>1.9825628893031337</v>
      </c>
      <c r="X10" s="49">
        <f>X40*参数表!$C$33</f>
        <v>11.774215044247789</v>
      </c>
      <c r="Y10" s="49">
        <f>Y40*参数表!$C$33</f>
        <v>11.774215044247789</v>
      </c>
      <c r="Z10" s="49">
        <f>Z40*参数表!$C$33</f>
        <v>11.774215044247789</v>
      </c>
      <c r="AA10" s="106">
        <f t="shared" si="5"/>
        <v>37.3052080220465</v>
      </c>
    </row>
    <row r="11" spans="2:27" ht="17.149999999999999" customHeight="1" x14ac:dyDescent="0.35">
      <c r="B11" s="201" t="s">
        <v>99</v>
      </c>
      <c r="C11" s="47" t="s">
        <v>335</v>
      </c>
      <c r="D11" s="127"/>
      <c r="E11" s="127"/>
      <c r="F11" s="127"/>
      <c r="G11" s="49">
        <f>G40*参数表!$C$34</f>
        <v>0</v>
      </c>
      <c r="H11" s="49">
        <f>H40*参数表!$C$34</f>
        <v>0</v>
      </c>
      <c r="I11" s="49">
        <f>I40*参数表!$C$34</f>
        <v>0</v>
      </c>
      <c r="J11" s="49">
        <f>J40*参数表!$C$34</f>
        <v>0</v>
      </c>
      <c r="K11" s="49">
        <f>K40*参数表!$C$34</f>
        <v>0</v>
      </c>
      <c r="L11" s="49">
        <f>L40*参数表!$C$34</f>
        <v>0</v>
      </c>
      <c r="M11" s="49">
        <f>M40*参数表!$C$34</f>
        <v>0</v>
      </c>
      <c r="N11" s="49">
        <f>N40*参数表!$C$34</f>
        <v>0</v>
      </c>
      <c r="O11" s="49">
        <f>O40*参数表!$C$34</f>
        <v>0</v>
      </c>
      <c r="P11" s="49">
        <f>P40*参数表!$C$34</f>
        <v>0</v>
      </c>
      <c r="Q11" s="49">
        <f>Q40*参数表!$C$34</f>
        <v>0</v>
      </c>
      <c r="R11" s="49">
        <f>R40*参数表!$C$34</f>
        <v>0</v>
      </c>
      <c r="S11" s="49">
        <f>S40*参数表!$C$34</f>
        <v>0</v>
      </c>
      <c r="T11" s="49">
        <f>T40*参数表!$C$34</f>
        <v>0</v>
      </c>
      <c r="U11" s="49">
        <f>U40*参数表!$C$34</f>
        <v>0</v>
      </c>
      <c r="V11" s="49">
        <f>V40*参数表!$C$34</f>
        <v>0</v>
      </c>
      <c r="W11" s="49">
        <f>W40*参数表!$C$34</f>
        <v>1.9825628893031337</v>
      </c>
      <c r="X11" s="49">
        <f>X40*参数表!$C$34</f>
        <v>11.774215044247789</v>
      </c>
      <c r="Y11" s="49">
        <f>Y40*参数表!$C$34</f>
        <v>11.774215044247789</v>
      </c>
      <c r="Z11" s="49">
        <f>Z40*参数表!$C$34</f>
        <v>11.774215044247789</v>
      </c>
      <c r="AA11" s="106">
        <f t="shared" si="5"/>
        <v>37.3052080220465</v>
      </c>
    </row>
    <row r="12" spans="2:27" ht="17.149999999999999" customHeight="1" x14ac:dyDescent="0.35">
      <c r="B12" s="42">
        <v>4</v>
      </c>
      <c r="C12" s="159" t="s">
        <v>334</v>
      </c>
      <c r="D12" s="127"/>
      <c r="E12" s="127"/>
      <c r="F12" s="127"/>
      <c r="G12" s="49">
        <f>IF(G4&gt;参数表!$C$32,0,损益!G41)</f>
        <v>0</v>
      </c>
      <c r="H12" s="49">
        <f>IF(H4&gt;参数表!$C$32,0,损益!H41)</f>
        <v>0</v>
      </c>
      <c r="I12" s="49">
        <f>IF(I4&gt;参数表!$C$32,0,损益!I41)</f>
        <v>0</v>
      </c>
      <c r="J12" s="49">
        <f>IF(J4&gt;参数表!$C$32,0,损益!J41)</f>
        <v>0</v>
      </c>
      <c r="K12" s="49">
        <f>IF(K4&gt;参数表!$C$32,0,损益!K41)</f>
        <v>0</v>
      </c>
      <c r="L12" s="49">
        <f>IF(L4&gt;参数表!$C$32,0,损益!L41)</f>
        <v>0</v>
      </c>
      <c r="M12" s="49">
        <f>IF(M4&gt;参数表!$C$32,0,损益!M41)</f>
        <v>0</v>
      </c>
      <c r="N12" s="49">
        <f>IF(N4&gt;参数表!$C$32,0,损益!N41)</f>
        <v>0</v>
      </c>
      <c r="O12" s="49">
        <f>IF(O4&gt;参数表!$C$32,0,损益!O41)</f>
        <v>0</v>
      </c>
      <c r="P12" s="49">
        <f>IF(P4&gt;参数表!$C$32,0,损益!P41)</f>
        <v>0</v>
      </c>
      <c r="Q12" s="49">
        <f>IF(Q4&gt;参数表!$C$32,0,损益!Q41)</f>
        <v>0</v>
      </c>
      <c r="R12" s="49">
        <f>IF(R4&gt;参数表!$C$32,0,损益!R41)</f>
        <v>0</v>
      </c>
      <c r="S12" s="49">
        <f>IF(S4&gt;参数表!$C$32,0,损益!S41)</f>
        <v>0</v>
      </c>
      <c r="T12" s="49">
        <f>IF(T4&gt;参数表!$C$32,0,损益!T41)</f>
        <v>0</v>
      </c>
      <c r="U12" s="49">
        <f>IF(U4&gt;参数表!$C$32,0,损益!U41)</f>
        <v>0</v>
      </c>
      <c r="V12" s="49">
        <f>IF(V4&gt;参数表!$C$32,0,损益!V41)</f>
        <v>0</v>
      </c>
      <c r="W12" s="49">
        <f>IF(W4&gt;参数表!$C$32,0,损益!W41)</f>
        <v>19.825628893031336</v>
      </c>
      <c r="X12" s="49">
        <f>IF(X4&gt;参数表!$C$32,0,损益!X41)</f>
        <v>117.74215044247789</v>
      </c>
      <c r="Y12" s="49">
        <f>IF(Y4&gt;参数表!$C$32,0,损益!Y41)</f>
        <v>117.74215044247789</v>
      </c>
      <c r="Z12" s="49">
        <f>IF(Z4&gt;参数表!$C$32,0,损益!Z41)</f>
        <v>117.74215044247789</v>
      </c>
      <c r="AA12" s="106">
        <f t="shared" si="5"/>
        <v>373.05208022046503</v>
      </c>
    </row>
    <row r="13" spans="2:27" ht="17.149999999999999" customHeight="1" x14ac:dyDescent="0.35">
      <c r="B13" s="42">
        <v>5</v>
      </c>
      <c r="C13" s="47" t="s">
        <v>100</v>
      </c>
      <c r="D13" s="127"/>
      <c r="E13" s="127"/>
      <c r="F13" s="127"/>
      <c r="G13" s="49"/>
      <c r="H13" s="49"/>
      <c r="I13" s="49"/>
      <c r="J13" s="49"/>
      <c r="K13" s="49"/>
      <c r="L13" s="49"/>
      <c r="M13" s="49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106">
        <f t="shared" si="5"/>
        <v>0</v>
      </c>
    </row>
    <row r="14" spans="2:27" ht="17.149999999999999" customHeight="1" x14ac:dyDescent="0.35">
      <c r="B14" s="42">
        <v>6</v>
      </c>
      <c r="C14" s="47" t="s">
        <v>101</v>
      </c>
      <c r="D14" s="127"/>
      <c r="E14" s="127"/>
      <c r="F14" s="127"/>
      <c r="G14" s="49">
        <f>成本!E21</f>
        <v>4567.3185641558066</v>
      </c>
      <c r="H14" s="49">
        <f>成本!F21</f>
        <v>4556.1023361318357</v>
      </c>
      <c r="I14" s="49">
        <f>成本!G21</f>
        <v>4539.7339199768758</v>
      </c>
      <c r="J14" s="49">
        <f>成本!H21</f>
        <v>4524.3128227388415</v>
      </c>
      <c r="K14" s="49">
        <f>成本!I21</f>
        <v>4507.7429571665834</v>
      </c>
      <c r="L14" s="49">
        <f>成本!J21</f>
        <v>4803.2832666936019</v>
      </c>
      <c r="M14" s="49">
        <f>成本!K21</f>
        <v>4797.8213079263951</v>
      </c>
      <c r="N14" s="49">
        <f>成本!L21</f>
        <v>4791.5700457009907</v>
      </c>
      <c r="O14" s="49">
        <f>成本!M21</f>
        <v>4784.4681116126167</v>
      </c>
      <c r="P14" s="49">
        <f>成本!N21</f>
        <v>4776.4501430793807</v>
      </c>
      <c r="Q14" s="49">
        <f>成本!O21</f>
        <v>4963.2792537099267</v>
      </c>
      <c r="R14" s="49">
        <f>成本!P21</f>
        <v>4961.7346678401764</v>
      </c>
      <c r="S14" s="49">
        <f>成本!Q21</f>
        <v>4959.4221040589164</v>
      </c>
      <c r="T14" s="49">
        <f>成本!R21</f>
        <v>4956.2738166941144</v>
      </c>
      <c r="U14" s="49">
        <f>成本!S21</f>
        <v>4952.2174305439921</v>
      </c>
      <c r="V14" s="49">
        <f>成本!T21</f>
        <v>2668.6620875711696</v>
      </c>
      <c r="W14" s="49">
        <f>成本!U21</f>
        <v>2695.7086513805157</v>
      </c>
      <c r="X14" s="49">
        <f>成本!V21</f>
        <v>2724.9666385437845</v>
      </c>
      <c r="Y14" s="49">
        <f>成本!W21</f>
        <v>2760.6085905735363</v>
      </c>
      <c r="Z14" s="49">
        <f>成本!X21</f>
        <v>2797.8009675165822</v>
      </c>
      <c r="AA14" s="106">
        <f t="shared" si="5"/>
        <v>85089.477683615652</v>
      </c>
    </row>
    <row r="15" spans="2:27" s="251" customFormat="1" ht="17.149999999999999" customHeight="1" x14ac:dyDescent="0.35">
      <c r="B15" s="252">
        <v>7</v>
      </c>
      <c r="C15" s="253" t="s">
        <v>102</v>
      </c>
      <c r="D15" s="254"/>
      <c r="E15" s="254"/>
      <c r="F15" s="254"/>
      <c r="G15" s="365">
        <f t="shared" ref="G15:L15" si="7">G8-G9-G14+G12+G13</f>
        <v>-2755.9008650407623</v>
      </c>
      <c r="H15" s="365">
        <f t="shared" si="7"/>
        <v>-2744.6846370167914</v>
      </c>
      <c r="I15" s="365">
        <f t="shared" si="7"/>
        <v>-2728.3162208618314</v>
      </c>
      <c r="J15" s="365">
        <f t="shared" si="7"/>
        <v>-2712.8951236237972</v>
      </c>
      <c r="K15" s="365">
        <f t="shared" si="7"/>
        <v>-2696.3252580515391</v>
      </c>
      <c r="L15" s="365">
        <f t="shared" si="7"/>
        <v>-2991.8655675785576</v>
      </c>
      <c r="M15" s="365">
        <f t="shared" ref="M15:Z15" si="8">M8-M9-M14+M12+M13</f>
        <v>-2986.4036088113508</v>
      </c>
      <c r="N15" s="365">
        <f t="shared" si="8"/>
        <v>-2980.1523465859464</v>
      </c>
      <c r="O15" s="365">
        <f t="shared" si="8"/>
        <v>-2973.0504124975723</v>
      </c>
      <c r="P15" s="365">
        <f t="shared" si="8"/>
        <v>-2965.0324439643364</v>
      </c>
      <c r="Q15" s="365">
        <f t="shared" si="8"/>
        <v>-3151.8615545948824</v>
      </c>
      <c r="R15" s="365">
        <f t="shared" si="8"/>
        <v>-3150.316968725132</v>
      </c>
      <c r="S15" s="365">
        <f t="shared" si="8"/>
        <v>-3148.004404943872</v>
      </c>
      <c r="T15" s="365">
        <f t="shared" si="8"/>
        <v>-3144.8561175790701</v>
      </c>
      <c r="U15" s="365">
        <f t="shared" si="8"/>
        <v>-3140.7997314289478</v>
      </c>
      <c r="V15" s="365">
        <f t="shared" si="8"/>
        <v>-857.24438845612531</v>
      </c>
      <c r="W15" s="365">
        <f t="shared" si="8"/>
        <v>-868.43044915104633</v>
      </c>
      <c r="X15" s="365">
        <f t="shared" si="8"/>
        <v>-819.35521907475777</v>
      </c>
      <c r="Y15" s="365">
        <f t="shared" si="8"/>
        <v>-854.99717110450956</v>
      </c>
      <c r="Z15" s="365">
        <f t="shared" si="8"/>
        <v>-892.18954804755549</v>
      </c>
      <c r="AA15" s="255">
        <f t="shared" si="5"/>
        <v>-48562.68203713838</v>
      </c>
    </row>
    <row r="16" spans="2:27" s="251" customFormat="1" ht="17.149999999999999" customHeight="1" x14ac:dyDescent="0.35">
      <c r="B16" s="252">
        <v>8</v>
      </c>
      <c r="C16" s="253" t="s">
        <v>103</v>
      </c>
      <c r="D16" s="254"/>
      <c r="E16" s="254"/>
      <c r="F16" s="256">
        <v>-1E-3</v>
      </c>
      <c r="G16" s="365">
        <f t="shared" ref="G16:L16" si="9">G15-G25+G24+F16</f>
        <v>-2755.9018650407625</v>
      </c>
      <c r="H16" s="365">
        <f t="shared" si="9"/>
        <v>-5500.5865020575538</v>
      </c>
      <c r="I16" s="365">
        <f t="shared" si="9"/>
        <v>-8228.9027229193853</v>
      </c>
      <c r="J16" s="365">
        <f t="shared" si="9"/>
        <v>-10941.797846543182</v>
      </c>
      <c r="K16" s="365">
        <f t="shared" si="9"/>
        <v>-13638.123104594721</v>
      </c>
      <c r="L16" s="365">
        <f t="shared" si="9"/>
        <v>-13874.087807132517</v>
      </c>
      <c r="M16" s="365">
        <f t="shared" ref="M16:Z16" si="10">M15-M25+M24+L16</f>
        <v>-14115.806778927075</v>
      </c>
      <c r="N16" s="365">
        <f t="shared" si="10"/>
        <v>-14367.642904651191</v>
      </c>
      <c r="O16" s="365">
        <f t="shared" si="10"/>
        <v>-14627.798193524966</v>
      </c>
      <c r="P16" s="365">
        <f t="shared" si="10"/>
        <v>-14896.505379437764</v>
      </c>
      <c r="Q16" s="365">
        <f t="shared" si="10"/>
        <v>-15056.501366454086</v>
      </c>
      <c r="R16" s="365">
        <f t="shared" si="10"/>
        <v>-15220.414726367868</v>
      </c>
      <c r="S16" s="365">
        <f t="shared" si="10"/>
        <v>-15388.266784725794</v>
      </c>
      <c r="T16" s="365">
        <f t="shared" si="10"/>
        <v>-15560.072489807291</v>
      </c>
      <c r="U16" s="365">
        <f t="shared" si="10"/>
        <v>-15735.839777271902</v>
      </c>
      <c r="V16" s="365">
        <f t="shared" si="10"/>
        <v>-13441.222611133146</v>
      </c>
      <c r="W16" s="365">
        <f t="shared" si="10"/>
        <v>-11159.33609155906</v>
      </c>
      <c r="X16" s="365">
        <f t="shared" si="10"/>
        <v>-8830.686905689945</v>
      </c>
      <c r="Y16" s="365">
        <f t="shared" si="10"/>
        <v>-6540.8279592153867</v>
      </c>
      <c r="Z16" s="365">
        <f t="shared" si="10"/>
        <v>-4292.2177758339967</v>
      </c>
      <c r="AA16" s="255">
        <f>MIN(G16:Z16)</f>
        <v>-15735.839777271902</v>
      </c>
    </row>
    <row r="17" spans="1:28" ht="17.149999999999999" hidden="1" customHeight="1" x14ac:dyDescent="0.35">
      <c r="B17" s="42"/>
      <c r="C17" s="47"/>
      <c r="D17" s="127"/>
      <c r="E17" s="127"/>
      <c r="F17" s="127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106"/>
    </row>
    <row r="18" spans="1:28" ht="17.149999999999999" hidden="1" customHeight="1" x14ac:dyDescent="0.35">
      <c r="B18" s="42"/>
      <c r="C18" s="47"/>
      <c r="D18" s="127"/>
      <c r="E18" s="127"/>
      <c r="F18" s="127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106"/>
    </row>
    <row r="19" spans="1:28" ht="17.149999999999999" hidden="1" customHeight="1" x14ac:dyDescent="0.35">
      <c r="A19" s="34" t="s">
        <v>104</v>
      </c>
      <c r="B19" s="42"/>
      <c r="C19" s="47" t="s">
        <v>105</v>
      </c>
      <c r="D19" s="127"/>
      <c r="E19" s="127"/>
      <c r="F19" s="127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106"/>
    </row>
    <row r="20" spans="1:28" ht="17.149999999999999" customHeight="1" x14ac:dyDescent="0.35">
      <c r="B20" s="42"/>
      <c r="C20" s="51" t="s">
        <v>106</v>
      </c>
      <c r="D20" s="127"/>
      <c r="E20" s="127"/>
      <c r="F20" s="127"/>
      <c r="G20" s="49">
        <v>0</v>
      </c>
      <c r="H20" s="49">
        <v>0</v>
      </c>
      <c r="I20" s="49">
        <v>0</v>
      </c>
      <c r="J20" s="467">
        <f>IF(参数表!C36="否",所得税率/2,IF(J4&lt;=2030,参数表!C37/2,所得税率/2))</f>
        <v>0.125</v>
      </c>
      <c r="K20" s="171">
        <f>J20</f>
        <v>0.125</v>
      </c>
      <c r="L20" s="171">
        <f>K20</f>
        <v>0.125</v>
      </c>
      <c r="M20" s="468">
        <f>IF(参数表!C36="否",所得税率,IF(J4&lt;=2030,参数表!C37,所得税率))</f>
        <v>0.25</v>
      </c>
      <c r="N20" s="172">
        <f>M20</f>
        <v>0.25</v>
      </c>
      <c r="O20" s="172">
        <f t="shared" ref="O20:Z20" si="11">N20</f>
        <v>0.25</v>
      </c>
      <c r="P20" s="172">
        <f t="shared" si="11"/>
        <v>0.25</v>
      </c>
      <c r="Q20" s="172">
        <f t="shared" si="11"/>
        <v>0.25</v>
      </c>
      <c r="R20" s="172">
        <f t="shared" si="11"/>
        <v>0.25</v>
      </c>
      <c r="S20" s="172">
        <f t="shared" si="11"/>
        <v>0.25</v>
      </c>
      <c r="T20" s="172">
        <f t="shared" si="11"/>
        <v>0.25</v>
      </c>
      <c r="U20" s="172">
        <f t="shared" si="11"/>
        <v>0.25</v>
      </c>
      <c r="V20" s="172">
        <f t="shared" si="11"/>
        <v>0.25</v>
      </c>
      <c r="W20" s="172">
        <f t="shared" si="11"/>
        <v>0.25</v>
      </c>
      <c r="X20" s="172">
        <f t="shared" si="11"/>
        <v>0.25</v>
      </c>
      <c r="Y20" s="172">
        <f t="shared" si="11"/>
        <v>0.25</v>
      </c>
      <c r="Z20" s="172">
        <f t="shared" si="11"/>
        <v>0.25</v>
      </c>
      <c r="AA20" s="106"/>
    </row>
    <row r="21" spans="1:28" ht="17.149999999999999" customHeight="1" x14ac:dyDescent="0.35">
      <c r="B21" s="42">
        <v>9</v>
      </c>
      <c r="C21" s="47" t="s">
        <v>105</v>
      </c>
      <c r="D21" s="127"/>
      <c r="E21" s="127"/>
      <c r="F21" s="127"/>
      <c r="G21" s="49">
        <f t="shared" ref="G21:L21" si="12">IF(G15&lt;0,0,(G15-G22)*G20)</f>
        <v>0</v>
      </c>
      <c r="H21" s="49">
        <f t="shared" si="12"/>
        <v>0</v>
      </c>
      <c r="I21" s="49">
        <f t="shared" si="12"/>
        <v>0</v>
      </c>
      <c r="J21" s="49">
        <f t="shared" si="12"/>
        <v>0</v>
      </c>
      <c r="K21" s="49">
        <f t="shared" si="12"/>
        <v>0</v>
      </c>
      <c r="L21" s="49">
        <f t="shared" si="12"/>
        <v>0</v>
      </c>
      <c r="M21" s="49">
        <f t="shared" ref="M21:Z21" si="13">IF(M15&lt;0,0,(M15-M22)*M20)</f>
        <v>0</v>
      </c>
      <c r="N21" s="49">
        <f t="shared" si="13"/>
        <v>0</v>
      </c>
      <c r="O21" s="49">
        <f t="shared" si="13"/>
        <v>0</v>
      </c>
      <c r="P21" s="49">
        <f t="shared" si="13"/>
        <v>0</v>
      </c>
      <c r="Q21" s="49">
        <f t="shared" si="13"/>
        <v>0</v>
      </c>
      <c r="R21" s="49">
        <f t="shared" si="13"/>
        <v>0</v>
      </c>
      <c r="S21" s="49">
        <f t="shared" si="13"/>
        <v>0</v>
      </c>
      <c r="T21" s="49">
        <f t="shared" si="13"/>
        <v>0</v>
      </c>
      <c r="U21" s="49">
        <f t="shared" si="13"/>
        <v>0</v>
      </c>
      <c r="V21" s="49">
        <f t="shared" si="13"/>
        <v>0</v>
      </c>
      <c r="W21" s="49">
        <f t="shared" si="13"/>
        <v>0</v>
      </c>
      <c r="X21" s="49">
        <f t="shared" si="13"/>
        <v>0</v>
      </c>
      <c r="Y21" s="49">
        <f t="shared" si="13"/>
        <v>0</v>
      </c>
      <c r="Z21" s="49">
        <f t="shared" si="13"/>
        <v>0</v>
      </c>
      <c r="AA21" s="106"/>
    </row>
    <row r="22" spans="1:28" ht="17.149999999999999" customHeight="1" x14ac:dyDescent="0.35">
      <c r="B22" s="42">
        <v>7</v>
      </c>
      <c r="C22" s="47" t="s">
        <v>107</v>
      </c>
      <c r="D22" s="127"/>
      <c r="E22" s="127"/>
      <c r="F22" s="127"/>
      <c r="G22" s="49">
        <f t="shared" ref="G22:L22" si="14">IF(G15&lt;0,0,IF(F16&gt;0,0,MIN(G15,-F16)))</f>
        <v>0</v>
      </c>
      <c r="H22" s="49">
        <f t="shared" si="14"/>
        <v>0</v>
      </c>
      <c r="I22" s="49">
        <f t="shared" si="14"/>
        <v>0</v>
      </c>
      <c r="J22" s="49">
        <f t="shared" si="14"/>
        <v>0</v>
      </c>
      <c r="K22" s="49">
        <f t="shared" si="14"/>
        <v>0</v>
      </c>
      <c r="L22" s="49">
        <f t="shared" si="14"/>
        <v>0</v>
      </c>
      <c r="M22" s="49">
        <f t="shared" ref="M22:Z22" si="15">IF(M15&lt;0,0,IF(L16&gt;0,0,MIN(M15,-L16)))</f>
        <v>0</v>
      </c>
      <c r="N22" s="49">
        <f t="shared" si="15"/>
        <v>0</v>
      </c>
      <c r="O22" s="49">
        <f t="shared" si="15"/>
        <v>0</v>
      </c>
      <c r="P22" s="49">
        <f t="shared" si="15"/>
        <v>0</v>
      </c>
      <c r="Q22" s="49">
        <f t="shared" si="15"/>
        <v>0</v>
      </c>
      <c r="R22" s="49">
        <f t="shared" si="15"/>
        <v>0</v>
      </c>
      <c r="S22" s="49">
        <f t="shared" si="15"/>
        <v>0</v>
      </c>
      <c r="T22" s="49">
        <f t="shared" si="15"/>
        <v>0</v>
      </c>
      <c r="U22" s="49">
        <f t="shared" si="15"/>
        <v>0</v>
      </c>
      <c r="V22" s="49">
        <f t="shared" si="15"/>
        <v>0</v>
      </c>
      <c r="W22" s="49">
        <f t="shared" si="15"/>
        <v>0</v>
      </c>
      <c r="X22" s="49">
        <f t="shared" si="15"/>
        <v>0</v>
      </c>
      <c r="Y22" s="49">
        <f t="shared" si="15"/>
        <v>0</v>
      </c>
      <c r="Z22" s="49">
        <f t="shared" si="15"/>
        <v>0</v>
      </c>
      <c r="AA22" s="106"/>
    </row>
    <row r="23" spans="1:28" ht="17.149999999999999" customHeight="1" x14ac:dyDescent="0.35">
      <c r="B23" s="42"/>
      <c r="C23" s="47" t="s">
        <v>354</v>
      </c>
      <c r="D23" s="127"/>
      <c r="E23" s="127"/>
      <c r="F23" s="127"/>
      <c r="G23" s="49">
        <f t="shared" ref="G23:L23" si="16">IF(G15&lt;0,-G15,0)</f>
        <v>2755.9008650407623</v>
      </c>
      <c r="H23" s="49">
        <f t="shared" si="16"/>
        <v>2744.6846370167914</v>
      </c>
      <c r="I23" s="49">
        <f t="shared" si="16"/>
        <v>2728.3162208618314</v>
      </c>
      <c r="J23" s="49">
        <f t="shared" si="16"/>
        <v>2712.8951236237972</v>
      </c>
      <c r="K23" s="49">
        <f t="shared" si="16"/>
        <v>2696.3252580515391</v>
      </c>
      <c r="L23" s="49">
        <f t="shared" si="16"/>
        <v>2991.8655675785576</v>
      </c>
      <c r="M23" s="49">
        <f t="shared" ref="M23:Z23" si="17">IF(M15&lt;0,-M15,0)</f>
        <v>2986.4036088113508</v>
      </c>
      <c r="N23" s="49">
        <f t="shared" si="17"/>
        <v>2980.1523465859464</v>
      </c>
      <c r="O23" s="49">
        <f t="shared" si="17"/>
        <v>2973.0504124975723</v>
      </c>
      <c r="P23" s="49">
        <f t="shared" si="17"/>
        <v>2965.0324439643364</v>
      </c>
      <c r="Q23" s="49">
        <f t="shared" si="17"/>
        <v>3151.8615545948824</v>
      </c>
      <c r="R23" s="49">
        <f t="shared" si="17"/>
        <v>3150.316968725132</v>
      </c>
      <c r="S23" s="49">
        <f t="shared" si="17"/>
        <v>3148.004404943872</v>
      </c>
      <c r="T23" s="49">
        <f t="shared" si="17"/>
        <v>3144.8561175790701</v>
      </c>
      <c r="U23" s="49">
        <f t="shared" si="17"/>
        <v>3140.7997314289478</v>
      </c>
      <c r="V23" s="49">
        <f t="shared" si="17"/>
        <v>857.24438845612531</v>
      </c>
      <c r="W23" s="49">
        <f t="shared" si="17"/>
        <v>868.43044915104633</v>
      </c>
      <c r="X23" s="49">
        <f t="shared" si="17"/>
        <v>819.35521907475777</v>
      </c>
      <c r="Y23" s="49">
        <f t="shared" si="17"/>
        <v>854.99717110450956</v>
      </c>
      <c r="Z23" s="49">
        <f t="shared" si="17"/>
        <v>892.18954804755549</v>
      </c>
      <c r="AA23" s="106"/>
    </row>
    <row r="24" spans="1:28" ht="17.149999999999999" customHeight="1" x14ac:dyDescent="0.35">
      <c r="B24" s="42"/>
      <c r="C24" s="47" t="s">
        <v>355</v>
      </c>
      <c r="D24" s="127"/>
      <c r="E24" s="127"/>
      <c r="F24" s="127"/>
      <c r="G24" s="49"/>
      <c r="H24" s="49"/>
      <c r="I24" s="49"/>
      <c r="J24" s="49"/>
      <c r="K24" s="49"/>
      <c r="L24" s="49">
        <f>IF(SUM($G$23:G23)&gt;(SUM($G$22:L22)+SUM($G$24:K24)),SUM($G$23:G23)-(SUM($G$22:L22)+SUM($G$24:K24)),0)</f>
        <v>2755.9008650407623</v>
      </c>
      <c r="M24" s="49">
        <f>IF(SUM($G$23:H23)&gt;(SUM($G$22:M22)+SUM($G$24:L24)),SUM($G$23:H23)-(SUM($G$22:M22)+SUM($G$24:L24)),0)</f>
        <v>2744.6846370167914</v>
      </c>
      <c r="N24" s="49">
        <f>IF(SUM($G$23:I23)&gt;(SUM($G$22:N22)+SUM($G$24:M24)),SUM($G$23:I23)-(SUM($G$22:N22)+SUM($G$24:M24)),0)</f>
        <v>2728.3162208618314</v>
      </c>
      <c r="O24" s="49">
        <f>IF(SUM($G$23:J23)&gt;(SUM($G$22:O22)+SUM($G$24:N24)),SUM($G$23:J23)-(SUM($G$22:O22)+SUM($G$24:N24)),0)</f>
        <v>2712.8951236237972</v>
      </c>
      <c r="P24" s="49">
        <f>IF(SUM($G$23:K23)&gt;(SUM($G$22:P22)+SUM($G$24:O24)),SUM($G$23:K23)-(SUM($G$22:P22)+SUM($G$24:O24)),0)</f>
        <v>2696.3252580515382</v>
      </c>
      <c r="Q24" s="49">
        <f>IF(SUM($G$23:L23)&gt;(SUM($G$22:Q22)+SUM($G$24:P24)),SUM($G$23:L23)-(SUM($G$22:Q22)+SUM($G$24:P24)),0)</f>
        <v>2991.8655675785594</v>
      </c>
      <c r="R24" s="49">
        <f>IF(SUM($G$23:M23)&gt;(SUM($G$22:R22)+SUM($G$24:Q24)),SUM($G$23:M23)-(SUM($G$22:R22)+SUM($G$24:Q24)),0)</f>
        <v>2986.4036088113498</v>
      </c>
      <c r="S24" s="49">
        <f>IF(SUM($G$23:N23)&gt;(SUM($G$22:S22)+SUM($G$24:R24)),SUM($G$23:N23)-(SUM($G$22:S22)+SUM($G$24:R24)),0)</f>
        <v>2980.1523465859464</v>
      </c>
      <c r="T24" s="49">
        <f>IF(SUM($G$23:O23)&gt;(SUM($G$22:T22)+SUM($G$24:S24)),SUM($G$23:O23)-(SUM($G$22:T22)+SUM($G$24:S24)),0)</f>
        <v>2973.0504124975741</v>
      </c>
      <c r="U24" s="49">
        <f>IF(SUM($G$23:P23)&gt;(SUM($G$22:U22)+SUM($G$24:T24)),SUM($G$23:P23)-(SUM($G$22:U22)+SUM($G$24:T24)),0)</f>
        <v>2965.0324439643373</v>
      </c>
      <c r="V24" s="49">
        <f>IF(SUM($G$23:Q23)&gt;(SUM($G$22:V22)+SUM($G$24:U24)),SUM($G$23:Q23)-(SUM($G$22:V22)+SUM($G$24:U24)),0)</f>
        <v>3151.8615545948815</v>
      </c>
      <c r="W24" s="49">
        <f>IF(SUM($G$23:R23)&gt;(SUM($G$22:W22)+SUM($G$24:V24)),SUM($G$23:R23)-(SUM($G$22:W22)+SUM($G$24:V24)),0)</f>
        <v>3150.316968725132</v>
      </c>
      <c r="X24" s="49">
        <f>IF(SUM($G$23:S23)&gt;(SUM($G$22:X22)+SUM($G$24:W24)),SUM($G$23:S23)-(SUM($G$22:X22)+SUM($G$24:W24)),0)</f>
        <v>3148.0044049438729</v>
      </c>
      <c r="Y24" s="49">
        <f>IF(SUM($G$23:T23)&gt;(SUM($G$22:Y22)+SUM($G$24:X24)),SUM($G$23:T23)-(SUM($G$22:Y22)+SUM($G$24:X24)),0)</f>
        <v>3144.8561175790674</v>
      </c>
      <c r="Z24" s="49">
        <f>IF(SUM($G$23:U23)&gt;(SUM($G$22:Z22)+SUM($G$24:Y24)),SUM($G$23:U23)-(SUM($G$22:Z22)+SUM($G$24:Y24)),0)</f>
        <v>3140.799731428946</v>
      </c>
      <c r="AA24" s="106"/>
    </row>
    <row r="25" spans="1:28" ht="17.149999999999999" customHeight="1" x14ac:dyDescent="0.35">
      <c r="B25" s="42"/>
      <c r="C25" s="47" t="s">
        <v>105</v>
      </c>
      <c r="D25" s="127"/>
      <c r="E25" s="127"/>
      <c r="F25" s="127"/>
      <c r="G25" s="49">
        <f t="shared" ref="G25:L25" si="18">G21</f>
        <v>0</v>
      </c>
      <c r="H25" s="49">
        <f t="shared" si="18"/>
        <v>0</v>
      </c>
      <c r="I25" s="49">
        <f t="shared" si="18"/>
        <v>0</v>
      </c>
      <c r="J25" s="49">
        <f t="shared" si="18"/>
        <v>0</v>
      </c>
      <c r="K25" s="49">
        <f t="shared" si="18"/>
        <v>0</v>
      </c>
      <c r="L25" s="49">
        <f t="shared" si="18"/>
        <v>0</v>
      </c>
      <c r="M25" s="49">
        <f t="shared" ref="M25:Z25" si="19">M21</f>
        <v>0</v>
      </c>
      <c r="N25" s="49">
        <f t="shared" si="19"/>
        <v>0</v>
      </c>
      <c r="O25" s="49">
        <f t="shared" si="19"/>
        <v>0</v>
      </c>
      <c r="P25" s="49">
        <f t="shared" si="19"/>
        <v>0</v>
      </c>
      <c r="Q25" s="49">
        <f t="shared" si="19"/>
        <v>0</v>
      </c>
      <c r="R25" s="49">
        <f t="shared" si="19"/>
        <v>0</v>
      </c>
      <c r="S25" s="49">
        <f t="shared" si="19"/>
        <v>0</v>
      </c>
      <c r="T25" s="49">
        <f t="shared" si="19"/>
        <v>0</v>
      </c>
      <c r="U25" s="49">
        <f t="shared" si="19"/>
        <v>0</v>
      </c>
      <c r="V25" s="49">
        <f t="shared" si="19"/>
        <v>0</v>
      </c>
      <c r="W25" s="49">
        <f t="shared" si="19"/>
        <v>0</v>
      </c>
      <c r="X25" s="49">
        <f t="shared" si="19"/>
        <v>0</v>
      </c>
      <c r="Y25" s="49">
        <f t="shared" si="19"/>
        <v>0</v>
      </c>
      <c r="Z25" s="49">
        <f t="shared" si="19"/>
        <v>0</v>
      </c>
      <c r="AA25" s="106"/>
    </row>
    <row r="26" spans="1:28" ht="17.149999999999999" customHeight="1" x14ac:dyDescent="0.35">
      <c r="B26" s="42">
        <v>10</v>
      </c>
      <c r="C26" s="47" t="s">
        <v>108</v>
      </c>
      <c r="D26" s="127"/>
      <c r="E26" s="127"/>
      <c r="F26" s="127"/>
      <c r="G26" s="49">
        <f t="shared" ref="G26:L26" si="20">IF(G15&lt;=0,0,G15-G22-G25)</f>
        <v>0</v>
      </c>
      <c r="H26" s="49">
        <f t="shared" si="20"/>
        <v>0</v>
      </c>
      <c r="I26" s="49">
        <f t="shared" si="20"/>
        <v>0</v>
      </c>
      <c r="J26" s="49">
        <f t="shared" si="20"/>
        <v>0</v>
      </c>
      <c r="K26" s="49">
        <f t="shared" si="20"/>
        <v>0</v>
      </c>
      <c r="L26" s="49">
        <f t="shared" si="20"/>
        <v>0</v>
      </c>
      <c r="M26" s="49">
        <f t="shared" ref="M26:Z26" si="21">IF(M15&lt;=0,0,M15-M22-M25)</f>
        <v>0</v>
      </c>
      <c r="N26" s="49">
        <f t="shared" si="21"/>
        <v>0</v>
      </c>
      <c r="O26" s="49">
        <f t="shared" si="21"/>
        <v>0</v>
      </c>
      <c r="P26" s="49">
        <f t="shared" si="21"/>
        <v>0</v>
      </c>
      <c r="Q26" s="49">
        <f t="shared" si="21"/>
        <v>0</v>
      </c>
      <c r="R26" s="49">
        <f t="shared" si="21"/>
        <v>0</v>
      </c>
      <c r="S26" s="49">
        <f t="shared" si="21"/>
        <v>0</v>
      </c>
      <c r="T26" s="49">
        <f t="shared" si="21"/>
        <v>0</v>
      </c>
      <c r="U26" s="49">
        <f t="shared" si="21"/>
        <v>0</v>
      </c>
      <c r="V26" s="49">
        <f t="shared" si="21"/>
        <v>0</v>
      </c>
      <c r="W26" s="49">
        <f t="shared" si="21"/>
        <v>0</v>
      </c>
      <c r="X26" s="49">
        <f t="shared" si="21"/>
        <v>0</v>
      </c>
      <c r="Y26" s="49">
        <f t="shared" si="21"/>
        <v>0</v>
      </c>
      <c r="Z26" s="49">
        <f t="shared" si="21"/>
        <v>0</v>
      </c>
      <c r="AA26" s="106">
        <f>SUM(D26:Z26)</f>
        <v>0</v>
      </c>
    </row>
    <row r="27" spans="1:28" ht="17.149999999999999" customHeight="1" x14ac:dyDescent="0.35">
      <c r="B27" s="42">
        <v>11</v>
      </c>
      <c r="C27" s="47" t="s">
        <v>109</v>
      </c>
      <c r="D27" s="127"/>
      <c r="E27" s="127"/>
      <c r="F27" s="127"/>
      <c r="G27" s="49">
        <f t="shared" ref="G27:Z27" si="22">IF(G16&lt;=0,0,G26*盈余公积金)</f>
        <v>0</v>
      </c>
      <c r="H27" s="49">
        <f t="shared" si="22"/>
        <v>0</v>
      </c>
      <c r="I27" s="49">
        <f t="shared" si="22"/>
        <v>0</v>
      </c>
      <c r="J27" s="49">
        <f t="shared" si="22"/>
        <v>0</v>
      </c>
      <c r="K27" s="49">
        <f t="shared" si="22"/>
        <v>0</v>
      </c>
      <c r="L27" s="49">
        <f t="shared" si="22"/>
        <v>0</v>
      </c>
      <c r="M27" s="49">
        <f t="shared" si="22"/>
        <v>0</v>
      </c>
      <c r="N27" s="49">
        <f t="shared" si="22"/>
        <v>0</v>
      </c>
      <c r="O27" s="49">
        <f t="shared" si="22"/>
        <v>0</v>
      </c>
      <c r="P27" s="49">
        <f t="shared" si="22"/>
        <v>0</v>
      </c>
      <c r="Q27" s="49">
        <f t="shared" si="22"/>
        <v>0</v>
      </c>
      <c r="R27" s="49">
        <f t="shared" si="22"/>
        <v>0</v>
      </c>
      <c r="S27" s="49">
        <f t="shared" si="22"/>
        <v>0</v>
      </c>
      <c r="T27" s="49">
        <f t="shared" si="22"/>
        <v>0</v>
      </c>
      <c r="U27" s="49">
        <f t="shared" si="22"/>
        <v>0</v>
      </c>
      <c r="V27" s="49">
        <f t="shared" si="22"/>
        <v>0</v>
      </c>
      <c r="W27" s="49">
        <f t="shared" si="22"/>
        <v>0</v>
      </c>
      <c r="X27" s="49">
        <f t="shared" si="22"/>
        <v>0</v>
      </c>
      <c r="Y27" s="49">
        <f t="shared" si="22"/>
        <v>0</v>
      </c>
      <c r="Z27" s="49">
        <f t="shared" si="22"/>
        <v>0</v>
      </c>
      <c r="AA27" s="106">
        <f>SUM(D27:Z27)</f>
        <v>0</v>
      </c>
      <c r="AB27" s="71"/>
    </row>
    <row r="28" spans="1:28" ht="17.149999999999999" customHeight="1" x14ac:dyDescent="0.35">
      <c r="B28" s="42">
        <v>12</v>
      </c>
      <c r="C28" s="47" t="s">
        <v>110</v>
      </c>
      <c r="D28" s="127"/>
      <c r="E28" s="127"/>
      <c r="F28" s="127"/>
      <c r="G28" s="49">
        <v>0</v>
      </c>
      <c r="H28" s="49">
        <v>0</v>
      </c>
      <c r="I28" s="49">
        <v>0</v>
      </c>
      <c r="J28" s="49">
        <v>0</v>
      </c>
      <c r="K28" s="49">
        <v>0</v>
      </c>
      <c r="L28" s="49">
        <v>0</v>
      </c>
      <c r="M28" s="49">
        <v>0</v>
      </c>
      <c r="N28" s="49">
        <v>0</v>
      </c>
      <c r="O28" s="49">
        <v>0</v>
      </c>
      <c r="P28" s="49">
        <v>0</v>
      </c>
      <c r="Q28" s="49">
        <v>0</v>
      </c>
      <c r="R28" s="49">
        <v>0</v>
      </c>
      <c r="S28" s="49">
        <v>0</v>
      </c>
      <c r="T28" s="49">
        <v>0</v>
      </c>
      <c r="U28" s="49">
        <v>0</v>
      </c>
      <c r="V28" s="49">
        <v>0</v>
      </c>
      <c r="W28" s="49">
        <v>0</v>
      </c>
      <c r="X28" s="49">
        <v>0</v>
      </c>
      <c r="Y28" s="49">
        <v>0</v>
      </c>
      <c r="Z28" s="49">
        <v>0</v>
      </c>
      <c r="AA28" s="106">
        <f>SUM(D28:Z28)</f>
        <v>0</v>
      </c>
    </row>
    <row r="29" spans="1:28" ht="17.149999999999999" customHeight="1" x14ac:dyDescent="0.35">
      <c r="B29" s="42">
        <v>13</v>
      </c>
      <c r="C29" s="47" t="s">
        <v>111</v>
      </c>
      <c r="D29" s="127"/>
      <c r="E29" s="127"/>
      <c r="F29" s="127"/>
      <c r="G29" s="49">
        <f t="shared" ref="G29:Z29" si="23">IF(G16&lt;=0,0,G26-G27-G28)</f>
        <v>0</v>
      </c>
      <c r="H29" s="49">
        <f t="shared" si="23"/>
        <v>0</v>
      </c>
      <c r="I29" s="49">
        <f t="shared" si="23"/>
        <v>0</v>
      </c>
      <c r="J29" s="49">
        <f t="shared" si="23"/>
        <v>0</v>
      </c>
      <c r="K29" s="49">
        <f t="shared" si="23"/>
        <v>0</v>
      </c>
      <c r="L29" s="49">
        <f t="shared" si="23"/>
        <v>0</v>
      </c>
      <c r="M29" s="49">
        <f t="shared" si="23"/>
        <v>0</v>
      </c>
      <c r="N29" s="49">
        <f t="shared" si="23"/>
        <v>0</v>
      </c>
      <c r="O29" s="49">
        <f t="shared" si="23"/>
        <v>0</v>
      </c>
      <c r="P29" s="49">
        <f t="shared" si="23"/>
        <v>0</v>
      </c>
      <c r="Q29" s="49">
        <f t="shared" si="23"/>
        <v>0</v>
      </c>
      <c r="R29" s="49">
        <f t="shared" si="23"/>
        <v>0</v>
      </c>
      <c r="S29" s="49">
        <f t="shared" si="23"/>
        <v>0</v>
      </c>
      <c r="T29" s="49">
        <f t="shared" si="23"/>
        <v>0</v>
      </c>
      <c r="U29" s="49">
        <f t="shared" si="23"/>
        <v>0</v>
      </c>
      <c r="V29" s="49">
        <f t="shared" si="23"/>
        <v>0</v>
      </c>
      <c r="W29" s="49">
        <f t="shared" si="23"/>
        <v>0</v>
      </c>
      <c r="X29" s="49">
        <f t="shared" si="23"/>
        <v>0</v>
      </c>
      <c r="Y29" s="49">
        <f t="shared" si="23"/>
        <v>0</v>
      </c>
      <c r="Z29" s="49">
        <f t="shared" si="23"/>
        <v>0</v>
      </c>
      <c r="AA29" s="106">
        <f>SUM(D29:Z29)</f>
        <v>0</v>
      </c>
    </row>
    <row r="30" spans="1:28" ht="17.149999999999999" customHeight="1" x14ac:dyDescent="0.35">
      <c r="B30" s="42">
        <v>14</v>
      </c>
      <c r="C30" s="161" t="s">
        <v>112</v>
      </c>
      <c r="D30" s="127"/>
      <c r="E30" s="127"/>
      <c r="F30" s="127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106"/>
    </row>
    <row r="31" spans="1:28" ht="17.149999999999999" customHeight="1" x14ac:dyDescent="0.35">
      <c r="B31" s="42">
        <v>15</v>
      </c>
      <c r="C31" s="161" t="s">
        <v>113</v>
      </c>
      <c r="D31" s="127"/>
      <c r="E31" s="127"/>
      <c r="F31" s="127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106"/>
    </row>
    <row r="32" spans="1:28" ht="17.149999999999999" customHeight="1" x14ac:dyDescent="0.35">
      <c r="B32" s="42">
        <v>16</v>
      </c>
      <c r="C32" s="47" t="s">
        <v>114</v>
      </c>
      <c r="D32" s="127"/>
      <c r="E32" s="127"/>
      <c r="F32" s="127"/>
      <c r="G32" s="49">
        <f>财务计划!E31</f>
        <v>0</v>
      </c>
      <c r="H32" s="49">
        <f>财务计划!F31</f>
        <v>0</v>
      </c>
      <c r="I32" s="49">
        <f>财务计划!G31</f>
        <v>0</v>
      </c>
      <c r="J32" s="49">
        <f>财务计划!H31</f>
        <v>0</v>
      </c>
      <c r="K32" s="49">
        <f>财务计划!I31</f>
        <v>0</v>
      </c>
      <c r="L32" s="49">
        <f>财务计划!J31</f>
        <v>0</v>
      </c>
      <c r="M32" s="49">
        <f>财务计划!K31</f>
        <v>0</v>
      </c>
      <c r="N32" s="49">
        <f>财务计划!L31</f>
        <v>0</v>
      </c>
      <c r="O32" s="49">
        <f>财务计划!M31</f>
        <v>0</v>
      </c>
      <c r="P32" s="49">
        <f>财务计划!N31</f>
        <v>0</v>
      </c>
      <c r="Q32" s="49">
        <f>财务计划!O31</f>
        <v>0</v>
      </c>
      <c r="R32" s="49">
        <f>财务计划!P31</f>
        <v>0</v>
      </c>
      <c r="S32" s="49">
        <f>财务计划!Q31</f>
        <v>0</v>
      </c>
      <c r="T32" s="49">
        <f>财务计划!R31</f>
        <v>0</v>
      </c>
      <c r="U32" s="49">
        <f>财务计划!S31</f>
        <v>0</v>
      </c>
      <c r="V32" s="49">
        <f>财务计划!T31</f>
        <v>0</v>
      </c>
      <c r="W32" s="49">
        <f>财务计划!U31</f>
        <v>0</v>
      </c>
      <c r="X32" s="49">
        <f>财务计划!V31</f>
        <v>0</v>
      </c>
      <c r="Y32" s="49">
        <f>财务计划!W31</f>
        <v>0</v>
      </c>
      <c r="Z32" s="49">
        <f>财务计划!X31</f>
        <v>0</v>
      </c>
      <c r="AA32" s="106"/>
    </row>
    <row r="33" spans="2:27" ht="17.149999999999999" customHeight="1" x14ac:dyDescent="0.35">
      <c r="B33" s="42">
        <v>17</v>
      </c>
      <c r="C33" s="47" t="s">
        <v>115</v>
      </c>
      <c r="D33" s="127"/>
      <c r="E33" s="127"/>
      <c r="F33" s="127"/>
      <c r="G33" s="162">
        <f>G29-G32+IF(G15&lt;0,G15,G22)</f>
        <v>-2755.9008650407623</v>
      </c>
      <c r="H33" s="162">
        <f t="shared" ref="H33:Z33" si="24">H29-H32+IF(H15&lt;0,H15,H22)</f>
        <v>-2744.6846370167914</v>
      </c>
      <c r="I33" s="162">
        <f t="shared" si="24"/>
        <v>-2728.3162208618314</v>
      </c>
      <c r="J33" s="162">
        <f t="shared" si="24"/>
        <v>-2712.8951236237972</v>
      </c>
      <c r="K33" s="162">
        <f t="shared" si="24"/>
        <v>-2696.3252580515391</v>
      </c>
      <c r="L33" s="162">
        <f t="shared" si="24"/>
        <v>-2991.8655675785576</v>
      </c>
      <c r="M33" s="162">
        <f t="shared" si="24"/>
        <v>-2986.4036088113508</v>
      </c>
      <c r="N33" s="162">
        <f t="shared" si="24"/>
        <v>-2980.1523465859464</v>
      </c>
      <c r="O33" s="162">
        <f t="shared" si="24"/>
        <v>-2973.0504124975723</v>
      </c>
      <c r="P33" s="162">
        <f t="shared" si="24"/>
        <v>-2965.0324439643364</v>
      </c>
      <c r="Q33" s="162">
        <f t="shared" si="24"/>
        <v>-3151.8615545948824</v>
      </c>
      <c r="R33" s="162">
        <f t="shared" si="24"/>
        <v>-3150.316968725132</v>
      </c>
      <c r="S33" s="162">
        <f t="shared" si="24"/>
        <v>-3148.004404943872</v>
      </c>
      <c r="T33" s="162">
        <f t="shared" si="24"/>
        <v>-3144.8561175790701</v>
      </c>
      <c r="U33" s="162">
        <f t="shared" si="24"/>
        <v>-3140.7997314289478</v>
      </c>
      <c r="V33" s="162">
        <f t="shared" si="24"/>
        <v>-857.24438845612531</v>
      </c>
      <c r="W33" s="162">
        <f t="shared" si="24"/>
        <v>-868.43044915104633</v>
      </c>
      <c r="X33" s="162">
        <f t="shared" si="24"/>
        <v>-819.35521907475777</v>
      </c>
      <c r="Y33" s="162">
        <f t="shared" si="24"/>
        <v>-854.99717110450956</v>
      </c>
      <c r="Z33" s="162">
        <f t="shared" si="24"/>
        <v>-892.18954804755549</v>
      </c>
      <c r="AA33" s="106"/>
    </row>
    <row r="34" spans="2:27" ht="14.6" thickBot="1" x14ac:dyDescent="0.35">
      <c r="B34" s="74">
        <v>18</v>
      </c>
      <c r="C34" s="163" t="s">
        <v>116</v>
      </c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2"/>
      <c r="S34" s="152"/>
      <c r="T34" s="152"/>
      <c r="U34" s="152"/>
      <c r="V34" s="152"/>
      <c r="W34" s="152"/>
      <c r="X34" s="152"/>
      <c r="Y34" s="152"/>
      <c r="Z34" s="152"/>
      <c r="AA34" s="121"/>
    </row>
    <row r="35" spans="2:27" x14ac:dyDescent="0.3">
      <c r="C35" s="164" t="s">
        <v>337</v>
      </c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</row>
    <row r="36" spans="2:27" x14ac:dyDescent="0.3">
      <c r="C36" s="165" t="s">
        <v>117</v>
      </c>
      <c r="D36" s="166"/>
      <c r="E36" s="166"/>
      <c r="F36" s="166"/>
      <c r="G36" s="167">
        <f>成本!D28</f>
        <v>3963.5818572581848</v>
      </c>
      <c r="H36" s="167"/>
      <c r="I36" s="167"/>
      <c r="J36" s="167"/>
      <c r="K36" s="167"/>
      <c r="L36" s="167"/>
      <c r="M36" s="167"/>
      <c r="N36" s="167"/>
      <c r="O36" s="167"/>
      <c r="P36" s="167"/>
      <c r="Q36" s="167"/>
      <c r="R36" s="167"/>
      <c r="S36" s="167"/>
      <c r="T36" s="167"/>
      <c r="U36" s="167"/>
      <c r="V36" s="167"/>
      <c r="W36" s="167"/>
      <c r="X36" s="167"/>
      <c r="Y36" s="167"/>
      <c r="Z36" s="173"/>
    </row>
    <row r="37" spans="2:27" x14ac:dyDescent="0.3">
      <c r="C37" s="168" t="s">
        <v>118</v>
      </c>
      <c r="D37" s="61"/>
      <c r="E37" s="61"/>
      <c r="F37" s="61"/>
      <c r="G37" s="169">
        <f t="shared" ref="G37:Z37" si="25">G8*增值税率</f>
        <v>235.48430088495579</v>
      </c>
      <c r="H37" s="169">
        <f t="shared" si="25"/>
        <v>235.48430088495579</v>
      </c>
      <c r="I37" s="169">
        <f t="shared" si="25"/>
        <v>235.48430088495579</v>
      </c>
      <c r="J37" s="169">
        <f t="shared" si="25"/>
        <v>235.48430088495579</v>
      </c>
      <c r="K37" s="169">
        <f t="shared" si="25"/>
        <v>235.48430088495579</v>
      </c>
      <c r="L37" s="169">
        <f t="shared" si="25"/>
        <v>235.48430088495579</v>
      </c>
      <c r="M37" s="169">
        <f t="shared" si="25"/>
        <v>235.48430088495579</v>
      </c>
      <c r="N37" s="169">
        <f t="shared" si="25"/>
        <v>235.48430088495579</v>
      </c>
      <c r="O37" s="169">
        <f t="shared" si="25"/>
        <v>235.48430088495579</v>
      </c>
      <c r="P37" s="169">
        <f t="shared" si="25"/>
        <v>235.48430088495579</v>
      </c>
      <c r="Q37" s="169">
        <f t="shared" si="25"/>
        <v>235.48430088495579</v>
      </c>
      <c r="R37" s="169">
        <f t="shared" si="25"/>
        <v>235.48430088495579</v>
      </c>
      <c r="S37" s="169">
        <f t="shared" si="25"/>
        <v>235.48430088495579</v>
      </c>
      <c r="T37" s="169">
        <f t="shared" si="25"/>
        <v>235.48430088495579</v>
      </c>
      <c r="U37" s="169">
        <f t="shared" si="25"/>
        <v>235.48430088495579</v>
      </c>
      <c r="V37" s="169">
        <f t="shared" si="25"/>
        <v>235.48430088495579</v>
      </c>
      <c r="W37" s="169">
        <f t="shared" si="25"/>
        <v>235.48430088495579</v>
      </c>
      <c r="X37" s="169">
        <f t="shared" si="25"/>
        <v>235.48430088495579</v>
      </c>
      <c r="Y37" s="169">
        <f t="shared" si="25"/>
        <v>235.48430088495579</v>
      </c>
      <c r="Z37" s="169">
        <f t="shared" si="25"/>
        <v>235.48430088495579</v>
      </c>
    </row>
    <row r="38" spans="2:27" x14ac:dyDescent="0.3">
      <c r="C38" s="168" t="s">
        <v>119</v>
      </c>
      <c r="D38" s="61"/>
      <c r="E38" s="61"/>
      <c r="F38" s="61"/>
      <c r="G38" s="169">
        <f>G36-G37</f>
        <v>3728.0975563732291</v>
      </c>
      <c r="H38" s="169">
        <f>G38-H37</f>
        <v>3492.6132554882734</v>
      </c>
      <c r="I38" s="169">
        <f t="shared" ref="I38:O38" si="26">IF(H38-I37&gt;0,H38-I37,0)</f>
        <v>3257.1289546033177</v>
      </c>
      <c r="J38" s="169">
        <f t="shared" si="26"/>
        <v>3021.644653718362</v>
      </c>
      <c r="K38" s="169">
        <f t="shared" si="26"/>
        <v>2786.1603528334063</v>
      </c>
      <c r="L38" s="169">
        <f t="shared" si="26"/>
        <v>2550.6760519484505</v>
      </c>
      <c r="M38" s="169">
        <f t="shared" si="26"/>
        <v>2315.1917510634948</v>
      </c>
      <c r="N38" s="169">
        <f t="shared" si="26"/>
        <v>2079.7074501785391</v>
      </c>
      <c r="O38" s="169">
        <f t="shared" si="26"/>
        <v>1844.2231492935834</v>
      </c>
      <c r="P38" s="169">
        <f t="shared" ref="P38:Z38" si="27">IF(O38-P37&gt;0,O38-P37,0)</f>
        <v>1608.7388484086277</v>
      </c>
      <c r="Q38" s="169">
        <f t="shared" si="27"/>
        <v>1373.254547523672</v>
      </c>
      <c r="R38" s="169">
        <f t="shared" si="27"/>
        <v>1137.7702466387163</v>
      </c>
      <c r="S38" s="169">
        <f t="shared" si="27"/>
        <v>902.28594575376053</v>
      </c>
      <c r="T38" s="169">
        <f t="shared" si="27"/>
        <v>666.80164486880471</v>
      </c>
      <c r="U38" s="169">
        <f t="shared" si="27"/>
        <v>431.3173439838489</v>
      </c>
      <c r="V38" s="169">
        <f t="shared" si="27"/>
        <v>195.83304309889311</v>
      </c>
      <c r="W38" s="169">
        <f t="shared" si="27"/>
        <v>0</v>
      </c>
      <c r="X38" s="169">
        <f t="shared" si="27"/>
        <v>0</v>
      </c>
      <c r="Y38" s="169">
        <f t="shared" si="27"/>
        <v>0</v>
      </c>
      <c r="Z38" s="169">
        <f t="shared" si="27"/>
        <v>0</v>
      </c>
    </row>
    <row r="39" spans="2:27" x14ac:dyDescent="0.3">
      <c r="C39" s="168" t="s">
        <v>120</v>
      </c>
      <c r="D39" s="61"/>
      <c r="E39" s="61"/>
      <c r="F39" s="61"/>
      <c r="G39" s="169">
        <f>G37</f>
        <v>235.48430088495579</v>
      </c>
      <c r="H39" s="169">
        <f t="shared" ref="H39:M39" si="28">IF(G38&gt;H37,H37,G38)</f>
        <v>235.48430088495579</v>
      </c>
      <c r="I39" s="169">
        <f t="shared" si="28"/>
        <v>235.48430088495579</v>
      </c>
      <c r="J39" s="169">
        <f t="shared" si="28"/>
        <v>235.48430088495579</v>
      </c>
      <c r="K39" s="169">
        <f t="shared" si="28"/>
        <v>235.48430088495579</v>
      </c>
      <c r="L39" s="169">
        <f t="shared" si="28"/>
        <v>235.48430088495579</v>
      </c>
      <c r="M39" s="169">
        <f t="shared" si="28"/>
        <v>235.48430088495579</v>
      </c>
      <c r="N39" s="169">
        <f t="shared" ref="N39:Z39" si="29">IF(M38&gt;N37,N37,M38)</f>
        <v>235.48430088495579</v>
      </c>
      <c r="O39" s="169">
        <f t="shared" si="29"/>
        <v>235.48430088495579</v>
      </c>
      <c r="P39" s="169">
        <f t="shared" si="29"/>
        <v>235.48430088495579</v>
      </c>
      <c r="Q39" s="169">
        <f t="shared" si="29"/>
        <v>235.48430088495579</v>
      </c>
      <c r="R39" s="169">
        <f t="shared" si="29"/>
        <v>235.48430088495579</v>
      </c>
      <c r="S39" s="169">
        <f t="shared" si="29"/>
        <v>235.48430088495579</v>
      </c>
      <c r="T39" s="169">
        <f t="shared" si="29"/>
        <v>235.48430088495579</v>
      </c>
      <c r="U39" s="169">
        <f t="shared" si="29"/>
        <v>235.48430088495579</v>
      </c>
      <c r="V39" s="169">
        <f t="shared" si="29"/>
        <v>235.48430088495579</v>
      </c>
      <c r="W39" s="169">
        <f t="shared" si="29"/>
        <v>195.83304309889311</v>
      </c>
      <c r="X39" s="169">
        <f t="shared" si="29"/>
        <v>0</v>
      </c>
      <c r="Y39" s="169">
        <f t="shared" si="29"/>
        <v>0</v>
      </c>
      <c r="Z39" s="169">
        <f t="shared" si="29"/>
        <v>0</v>
      </c>
    </row>
    <row r="40" spans="2:27" x14ac:dyDescent="0.3">
      <c r="C40" s="168" t="s">
        <v>121</v>
      </c>
      <c r="D40" s="61"/>
      <c r="E40" s="61"/>
      <c r="F40" s="61"/>
      <c r="G40" s="169">
        <f>(G37-G39)/2</f>
        <v>0</v>
      </c>
      <c r="H40" s="169">
        <f>(H37-H39)/2</f>
        <v>0</v>
      </c>
      <c r="I40" s="169">
        <f>(I37-I39)</f>
        <v>0</v>
      </c>
      <c r="J40" s="169">
        <f t="shared" ref="J40:Z40" si="30">(J37-J39)</f>
        <v>0</v>
      </c>
      <c r="K40" s="169">
        <f t="shared" si="30"/>
        <v>0</v>
      </c>
      <c r="L40" s="169">
        <f t="shared" si="30"/>
        <v>0</v>
      </c>
      <c r="M40" s="169">
        <f t="shared" si="30"/>
        <v>0</v>
      </c>
      <c r="N40" s="169">
        <f t="shared" si="30"/>
        <v>0</v>
      </c>
      <c r="O40" s="169">
        <f t="shared" si="30"/>
        <v>0</v>
      </c>
      <c r="P40" s="169">
        <f t="shared" si="30"/>
        <v>0</v>
      </c>
      <c r="Q40" s="169">
        <f t="shared" si="30"/>
        <v>0</v>
      </c>
      <c r="R40" s="169">
        <f t="shared" si="30"/>
        <v>0</v>
      </c>
      <c r="S40" s="169">
        <f t="shared" si="30"/>
        <v>0</v>
      </c>
      <c r="T40" s="169">
        <f t="shared" si="30"/>
        <v>0</v>
      </c>
      <c r="U40" s="169">
        <f t="shared" si="30"/>
        <v>0</v>
      </c>
      <c r="V40" s="169">
        <f t="shared" si="30"/>
        <v>0</v>
      </c>
      <c r="W40" s="169">
        <f t="shared" si="30"/>
        <v>39.651257786062672</v>
      </c>
      <c r="X40" s="169">
        <f t="shared" si="30"/>
        <v>235.48430088495579</v>
      </c>
      <c r="Y40" s="169">
        <f t="shared" si="30"/>
        <v>235.48430088495579</v>
      </c>
      <c r="Z40" s="169">
        <f t="shared" si="30"/>
        <v>235.48430088495579</v>
      </c>
    </row>
    <row r="41" spans="2:27" s="251" customFormat="1" x14ac:dyDescent="0.3">
      <c r="C41" s="342" t="s">
        <v>122</v>
      </c>
      <c r="D41" s="343"/>
      <c r="E41" s="343"/>
      <c r="F41" s="343"/>
      <c r="G41" s="344">
        <f>(G37-G39)/2</f>
        <v>0</v>
      </c>
      <c r="H41" s="344">
        <f t="shared" ref="H41:Z41" si="31">(H37-H39)/2</f>
        <v>0</v>
      </c>
      <c r="I41" s="344">
        <f t="shared" si="31"/>
        <v>0</v>
      </c>
      <c r="J41" s="344">
        <f t="shared" si="31"/>
        <v>0</v>
      </c>
      <c r="K41" s="344">
        <f t="shared" si="31"/>
        <v>0</v>
      </c>
      <c r="L41" s="344">
        <f t="shared" si="31"/>
        <v>0</v>
      </c>
      <c r="M41" s="344">
        <f t="shared" si="31"/>
        <v>0</v>
      </c>
      <c r="N41" s="344">
        <f t="shared" si="31"/>
        <v>0</v>
      </c>
      <c r="O41" s="344">
        <f t="shared" si="31"/>
        <v>0</v>
      </c>
      <c r="P41" s="344">
        <f t="shared" si="31"/>
        <v>0</v>
      </c>
      <c r="Q41" s="344">
        <f t="shared" si="31"/>
        <v>0</v>
      </c>
      <c r="R41" s="344">
        <f t="shared" si="31"/>
        <v>0</v>
      </c>
      <c r="S41" s="344">
        <f t="shared" si="31"/>
        <v>0</v>
      </c>
      <c r="T41" s="344">
        <f t="shared" si="31"/>
        <v>0</v>
      </c>
      <c r="U41" s="344">
        <f t="shared" si="31"/>
        <v>0</v>
      </c>
      <c r="V41" s="344">
        <f t="shared" si="31"/>
        <v>0</v>
      </c>
      <c r="W41" s="344">
        <f t="shared" si="31"/>
        <v>19.825628893031336</v>
      </c>
      <c r="X41" s="344">
        <f t="shared" si="31"/>
        <v>117.74215044247789</v>
      </c>
      <c r="Y41" s="344">
        <f t="shared" si="31"/>
        <v>117.74215044247789</v>
      </c>
      <c r="Z41" s="344">
        <f t="shared" si="31"/>
        <v>117.74215044247789</v>
      </c>
    </row>
    <row r="42" spans="2:27" x14ac:dyDescent="0.3">
      <c r="C42" s="137"/>
      <c r="D42" s="84"/>
      <c r="E42" s="84"/>
      <c r="F42" s="84"/>
      <c r="G42" s="170"/>
      <c r="H42" s="170"/>
      <c r="I42" s="170"/>
      <c r="J42" s="170"/>
      <c r="K42" s="170"/>
      <c r="L42" s="170"/>
      <c r="M42" s="170"/>
      <c r="N42" s="170"/>
      <c r="O42" s="170"/>
      <c r="P42" s="170"/>
      <c r="Q42" s="170"/>
      <c r="R42" s="170"/>
      <c r="S42" s="170"/>
      <c r="T42" s="170"/>
      <c r="U42" s="170"/>
      <c r="V42" s="170"/>
      <c r="W42" s="170"/>
      <c r="X42" s="170"/>
      <c r="Y42" s="170"/>
      <c r="Z42" s="170"/>
    </row>
    <row r="48" spans="2:27" x14ac:dyDescent="0.3"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210"/>
      <c r="W48" s="210"/>
      <c r="X48" s="210"/>
      <c r="Y48" s="210"/>
      <c r="Z48" s="210"/>
    </row>
    <row r="52" spans="4:26" x14ac:dyDescent="0.3"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</row>
    <row r="54" spans="4:26" x14ac:dyDescent="0.3">
      <c r="G54" s="235"/>
    </row>
    <row r="56" spans="4:26" x14ac:dyDescent="0.3">
      <c r="G56" s="124"/>
    </row>
    <row r="57" spans="4:26" x14ac:dyDescent="0.3">
      <c r="D57" s="124"/>
      <c r="G57" s="71"/>
      <c r="H57" s="242"/>
      <c r="J57" s="242"/>
    </row>
    <row r="58" spans="4:26" x14ac:dyDescent="0.3">
      <c r="D58" s="124"/>
      <c r="G58" s="71"/>
      <c r="H58" s="242"/>
      <c r="J58" s="242"/>
    </row>
    <row r="59" spans="4:26" x14ac:dyDescent="0.3">
      <c r="J59" s="242"/>
    </row>
    <row r="61" spans="4:26" x14ac:dyDescent="0.3">
      <c r="K61" s="124"/>
      <c r="L61" s="236"/>
      <c r="M61" s="236"/>
      <c r="N61" s="236"/>
      <c r="O61" s="236"/>
      <c r="P61" s="236"/>
      <c r="Q61" s="236"/>
      <c r="R61" s="236"/>
    </row>
    <row r="62" spans="4:26" x14ac:dyDescent="0.3">
      <c r="K62" s="124"/>
      <c r="L62" s="236"/>
      <c r="M62" s="236"/>
      <c r="N62" s="236"/>
      <c r="O62" s="236"/>
      <c r="P62" s="236"/>
      <c r="Q62" s="236"/>
      <c r="R62" s="236"/>
    </row>
    <row r="63" spans="4:26" x14ac:dyDescent="0.3">
      <c r="K63" s="124"/>
      <c r="L63" s="236"/>
      <c r="M63" s="236"/>
      <c r="N63" s="236"/>
      <c r="O63" s="236"/>
      <c r="P63" s="236"/>
      <c r="Q63" s="236"/>
      <c r="R63" s="236"/>
    </row>
    <row r="64" spans="4:26" x14ac:dyDescent="0.3">
      <c r="K64" s="124"/>
      <c r="L64" s="236"/>
      <c r="M64" s="236"/>
      <c r="N64" s="236"/>
      <c r="O64" s="236"/>
      <c r="P64" s="236"/>
      <c r="Q64" s="236"/>
      <c r="R64" s="236"/>
    </row>
    <row r="65" spans="10:18" x14ac:dyDescent="0.3">
      <c r="K65" s="124"/>
      <c r="L65" s="236"/>
      <c r="M65" s="236"/>
      <c r="N65" s="236"/>
      <c r="O65" s="236"/>
      <c r="P65" s="236"/>
      <c r="Q65" s="236"/>
    </row>
    <row r="66" spans="10:18" x14ac:dyDescent="0.3">
      <c r="K66" s="124"/>
      <c r="L66" s="236"/>
      <c r="M66" s="71"/>
      <c r="N66" s="71"/>
      <c r="O66" s="71"/>
      <c r="P66" s="71"/>
      <c r="Q66" s="71"/>
      <c r="R66" s="71"/>
    </row>
    <row r="67" spans="10:18" x14ac:dyDescent="0.3">
      <c r="K67" s="124"/>
    </row>
    <row r="68" spans="10:18" x14ac:dyDescent="0.3">
      <c r="K68" s="124"/>
      <c r="L68" s="71"/>
      <c r="M68" s="71"/>
      <c r="N68" s="71"/>
      <c r="O68" s="71"/>
      <c r="P68" s="71"/>
    </row>
    <row r="69" spans="10:18" x14ac:dyDescent="0.3">
      <c r="K69" s="124"/>
    </row>
    <row r="70" spans="10:18" x14ac:dyDescent="0.3">
      <c r="K70" s="124"/>
    </row>
    <row r="71" spans="10:18" x14ac:dyDescent="0.3">
      <c r="K71" s="124"/>
    </row>
    <row r="72" spans="10:18" x14ac:dyDescent="0.3">
      <c r="K72" s="124"/>
    </row>
    <row r="76" spans="10:18" x14ac:dyDescent="0.3">
      <c r="J76" s="124"/>
      <c r="K76" s="71"/>
    </row>
    <row r="77" spans="10:18" x14ac:dyDescent="0.3">
      <c r="J77" s="124"/>
      <c r="K77" s="71"/>
    </row>
    <row r="78" spans="10:18" x14ac:dyDescent="0.3">
      <c r="J78" s="124"/>
      <c r="K78" s="71"/>
    </row>
    <row r="79" spans="10:18" x14ac:dyDescent="0.3">
      <c r="J79" s="124"/>
      <c r="K79" s="71"/>
    </row>
    <row r="80" spans="10:18" x14ac:dyDescent="0.3">
      <c r="K80" s="71"/>
    </row>
    <row r="81" spans="11:11" x14ac:dyDescent="0.3">
      <c r="K81" s="242"/>
    </row>
  </sheetData>
  <mergeCells count="5">
    <mergeCell ref="B1:AA1"/>
    <mergeCell ref="G3:Z3"/>
    <mergeCell ref="B3:B4"/>
    <mergeCell ref="C3:C4"/>
    <mergeCell ref="AA3:AA4"/>
  </mergeCells>
  <phoneticPr fontId="61" type="noConversion"/>
  <pageMargins left="0.17986111111111111" right="0.37986111111111109" top="0.68958333333333333" bottom="1" header="0.5" footer="0.5"/>
  <pageSetup paperSize="9" scale="88" orientation="landscape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0E1F6-ADBA-4CAD-8CBC-7D31E8162B22}">
  <dimension ref="B1:AF59"/>
  <sheetViews>
    <sheetView showGridLines="0" showZeros="0" zoomScale="115" zoomScaleNormal="115" zoomScaleSheetLayoutView="100" workbookViewId="0">
      <pane xSplit="4" ySplit="5" topLeftCell="H6" activePane="bottomRight" state="frozen"/>
      <selection pane="topRight"/>
      <selection pane="bottomLeft"/>
      <selection pane="bottomRight" activeCell="C8" sqref="C8"/>
    </sheetView>
  </sheetViews>
  <sheetFormatPr defaultColWidth="9" defaultRowHeight="14.15" x14ac:dyDescent="0.3"/>
  <cols>
    <col min="1" max="1" width="5.85546875" style="34" customWidth="1"/>
    <col min="2" max="2" width="6" style="34" customWidth="1"/>
    <col min="3" max="3" width="18.35546875" style="67" customWidth="1"/>
    <col min="4" max="6" width="7.5703125" style="34" customWidth="1"/>
    <col min="7" max="7" width="8.7109375" style="34" bestFit="1" customWidth="1"/>
    <col min="8" max="8" width="8.5703125" style="122" customWidth="1"/>
    <col min="9" max="31" width="8.5703125" style="34" customWidth="1"/>
    <col min="32" max="32" width="31.85546875" style="34" customWidth="1"/>
    <col min="33" max="16384" width="9" style="34"/>
  </cols>
  <sheetData>
    <row r="1" spans="2:32" ht="27" customHeight="1" x14ac:dyDescent="0.3">
      <c r="B1" s="494" t="s">
        <v>123</v>
      </c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  <c r="Z1" s="494"/>
      <c r="AA1" s="494"/>
      <c r="AB1" s="494"/>
      <c r="AC1" s="494"/>
      <c r="AD1" s="494"/>
      <c r="AE1" s="494"/>
      <c r="AF1" s="494"/>
    </row>
    <row r="2" spans="2:32" ht="14.6" thickBot="1" x14ac:dyDescent="0.35">
      <c r="B2" s="123" t="s">
        <v>124</v>
      </c>
      <c r="C2" s="503"/>
      <c r="D2" s="503"/>
      <c r="E2" s="85"/>
      <c r="F2" s="85"/>
      <c r="G2" s="85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23"/>
      <c r="S2" s="124"/>
      <c r="AF2" s="124"/>
    </row>
    <row r="3" spans="2:32" ht="15" x14ac:dyDescent="0.3">
      <c r="B3" s="497" t="s">
        <v>1</v>
      </c>
      <c r="C3" s="499" t="s">
        <v>64</v>
      </c>
      <c r="D3" s="340" t="s">
        <v>125</v>
      </c>
      <c r="E3" s="340" t="s">
        <v>91</v>
      </c>
      <c r="F3" s="367"/>
      <c r="G3" s="367"/>
      <c r="H3" s="367"/>
      <c r="I3" s="367"/>
      <c r="J3" s="367"/>
      <c r="K3" s="367"/>
      <c r="L3" s="367"/>
      <c r="M3" s="367"/>
      <c r="N3" s="367"/>
      <c r="O3" s="367"/>
      <c r="P3" s="367"/>
      <c r="Q3" s="367"/>
      <c r="R3" s="367"/>
      <c r="S3" s="367"/>
      <c r="T3" s="367"/>
      <c r="U3" s="367"/>
      <c r="V3" s="367"/>
      <c r="W3" s="367"/>
      <c r="X3" s="367"/>
      <c r="Y3" s="372"/>
    </row>
    <row r="4" spans="2:32" x14ac:dyDescent="0.3">
      <c r="B4" s="498"/>
      <c r="C4" s="500"/>
      <c r="D4" s="5">
        <v>1</v>
      </c>
      <c r="E4" s="5">
        <v>1</v>
      </c>
      <c r="F4" s="5">
        <f t="shared" ref="F4:X4" si="0">E4+1</f>
        <v>2</v>
      </c>
      <c r="G4" s="5">
        <f t="shared" si="0"/>
        <v>3</v>
      </c>
      <c r="H4" s="5">
        <f t="shared" si="0"/>
        <v>4</v>
      </c>
      <c r="I4" s="5">
        <f t="shared" si="0"/>
        <v>5</v>
      </c>
      <c r="J4" s="5">
        <f t="shared" si="0"/>
        <v>6</v>
      </c>
      <c r="K4" s="5">
        <f t="shared" si="0"/>
        <v>7</v>
      </c>
      <c r="L4" s="5">
        <f t="shared" si="0"/>
        <v>8</v>
      </c>
      <c r="M4" s="5">
        <f t="shared" si="0"/>
        <v>9</v>
      </c>
      <c r="N4" s="5">
        <f t="shared" si="0"/>
        <v>10</v>
      </c>
      <c r="O4" s="5">
        <f t="shared" si="0"/>
        <v>11</v>
      </c>
      <c r="P4" s="5">
        <f t="shared" si="0"/>
        <v>12</v>
      </c>
      <c r="Q4" s="5">
        <f t="shared" si="0"/>
        <v>13</v>
      </c>
      <c r="R4" s="5">
        <f t="shared" si="0"/>
        <v>14</v>
      </c>
      <c r="S4" s="5">
        <f t="shared" si="0"/>
        <v>15</v>
      </c>
      <c r="T4" s="5">
        <f t="shared" si="0"/>
        <v>16</v>
      </c>
      <c r="U4" s="5">
        <f t="shared" si="0"/>
        <v>17</v>
      </c>
      <c r="V4" s="5">
        <f t="shared" si="0"/>
        <v>18</v>
      </c>
      <c r="W4" s="5">
        <f t="shared" si="0"/>
        <v>19</v>
      </c>
      <c r="X4" s="5">
        <f t="shared" si="0"/>
        <v>20</v>
      </c>
      <c r="Y4" s="366"/>
    </row>
    <row r="5" spans="2:32" ht="14.6" x14ac:dyDescent="0.35">
      <c r="B5" s="42"/>
      <c r="C5" s="47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125"/>
      <c r="O5" s="125"/>
      <c r="P5" s="125"/>
      <c r="Q5" s="125"/>
      <c r="R5" s="125"/>
      <c r="S5" s="125"/>
      <c r="T5" s="125"/>
      <c r="U5" s="125"/>
      <c r="V5" s="125"/>
      <c r="W5" s="125"/>
      <c r="X5" s="125"/>
      <c r="Y5" s="154"/>
    </row>
    <row r="6" spans="2:32" ht="14.6" x14ac:dyDescent="0.35">
      <c r="B6" s="42">
        <v>1</v>
      </c>
      <c r="C6" s="47" t="s">
        <v>126</v>
      </c>
      <c r="D6" s="125"/>
      <c r="E6" s="92">
        <f t="shared" ref="E6:X6" si="1">E30</f>
        <v>2480.5476476155768</v>
      </c>
      <c r="F6" s="92">
        <f t="shared" si="1"/>
        <v>2480.5476476155768</v>
      </c>
      <c r="G6" s="92">
        <f t="shared" si="1"/>
        <v>2480.5476476155768</v>
      </c>
      <c r="H6" s="92">
        <f t="shared" si="1"/>
        <v>2480.5476476155768</v>
      </c>
      <c r="I6" s="92">
        <f t="shared" si="1"/>
        <v>2480.5476476155768</v>
      </c>
      <c r="J6" s="92">
        <f t="shared" si="1"/>
        <v>2480.5476476155768</v>
      </c>
      <c r="K6" s="92">
        <f t="shared" si="1"/>
        <v>2480.5476476155768</v>
      </c>
      <c r="L6" s="92">
        <f t="shared" si="1"/>
        <v>2480.5476476155768</v>
      </c>
      <c r="M6" s="92">
        <f t="shared" si="1"/>
        <v>2480.5476476155768</v>
      </c>
      <c r="N6" s="92">
        <f t="shared" si="1"/>
        <v>2480.5476476155768</v>
      </c>
      <c r="O6" s="92">
        <f t="shared" si="1"/>
        <v>2480.5476476155768</v>
      </c>
      <c r="P6" s="92">
        <f t="shared" si="1"/>
        <v>2480.5476476155768</v>
      </c>
      <c r="Q6" s="92">
        <f t="shared" si="1"/>
        <v>2480.5476476155768</v>
      </c>
      <c r="R6" s="92">
        <f t="shared" si="1"/>
        <v>2480.5476476155768</v>
      </c>
      <c r="S6" s="92">
        <f t="shared" si="1"/>
        <v>2480.5476476155768</v>
      </c>
      <c r="T6" s="92">
        <f t="shared" si="1"/>
        <v>0</v>
      </c>
      <c r="U6" s="92">
        <f t="shared" si="1"/>
        <v>0</v>
      </c>
      <c r="V6" s="92">
        <f t="shared" si="1"/>
        <v>0</v>
      </c>
      <c r="W6" s="92">
        <f t="shared" si="1"/>
        <v>0</v>
      </c>
      <c r="X6" s="92">
        <f t="shared" si="1"/>
        <v>0</v>
      </c>
      <c r="Y6" s="155">
        <f t="shared" ref="Y6:Y22" si="2">SUM(D6:X6)</f>
        <v>37208.214714233654</v>
      </c>
    </row>
    <row r="7" spans="2:32" ht="14.6" x14ac:dyDescent="0.35">
      <c r="B7" s="42">
        <v>2</v>
      </c>
      <c r="C7" s="47" t="s">
        <v>65</v>
      </c>
      <c r="D7" s="125"/>
      <c r="E7" s="92">
        <f>$D$29*参数表!D44</f>
        <v>78.333083608912958</v>
      </c>
      <c r="F7" s="92">
        <f>$D$29*参数表!E44</f>
        <v>78.333083608912958</v>
      </c>
      <c r="G7" s="92">
        <f>$D$29*参数表!F44</f>
        <v>78.333083608912958</v>
      </c>
      <c r="H7" s="92">
        <f>$D$29*参数表!G44</f>
        <v>78.333083608912958</v>
      </c>
      <c r="I7" s="92">
        <f>$D$29*参数表!H44</f>
        <v>78.333083608912958</v>
      </c>
      <c r="J7" s="92">
        <f>$D$29*参数表!I44</f>
        <v>391.66541804456483</v>
      </c>
      <c r="K7" s="92">
        <f>$D$29*参数表!J44</f>
        <v>391.66541804456483</v>
      </c>
      <c r="L7" s="92">
        <f>$D$29*参数表!K44</f>
        <v>391.66541804456483</v>
      </c>
      <c r="M7" s="92">
        <f>$D$29*参数表!L44</f>
        <v>391.66541804456483</v>
      </c>
      <c r="N7" s="92">
        <f>$D$29*参数表!M44</f>
        <v>391.66541804456483</v>
      </c>
      <c r="O7" s="92">
        <f>$D$29*参数表!N44</f>
        <v>587.49812706684713</v>
      </c>
      <c r="P7" s="92">
        <f>$D$29*参数表!O44</f>
        <v>587.49812706684713</v>
      </c>
      <c r="Q7" s="92">
        <f>$D$29*参数表!P44</f>
        <v>587.49812706684713</v>
      </c>
      <c r="R7" s="92">
        <f>$D$29*参数表!Q44</f>
        <v>587.49812706684713</v>
      </c>
      <c r="S7" s="92">
        <f>$D$29*参数表!R44</f>
        <v>587.49812706684713</v>
      </c>
      <c r="T7" s="92">
        <f>$D$29*参数表!S44</f>
        <v>783.33083608912966</v>
      </c>
      <c r="U7" s="92">
        <f>$D$29*参数表!T44</f>
        <v>783.33083608912966</v>
      </c>
      <c r="V7" s="92">
        <f>$D$29*参数表!U44</f>
        <v>783.33083608912966</v>
      </c>
      <c r="W7" s="92">
        <f>$D$29*参数表!V44</f>
        <v>783.33083608912966</v>
      </c>
      <c r="X7" s="92">
        <f>$D$29*参数表!W44</f>
        <v>783.33083608912966</v>
      </c>
      <c r="Y7" s="155">
        <f t="shared" si="2"/>
        <v>9204.1373240472731</v>
      </c>
    </row>
    <row r="8" spans="2:32" ht="14.6" x14ac:dyDescent="0.35">
      <c r="B8" s="42">
        <v>3</v>
      </c>
      <c r="C8" s="47" t="s">
        <v>127</v>
      </c>
      <c r="D8" s="125"/>
      <c r="E8" s="92">
        <f>参数表!$C$45*参数表!$C$46*(1+参数表!$C$47)</f>
        <v>144</v>
      </c>
      <c r="F8" s="92">
        <f>参数表!$C$45*参数表!$C$46*(1+参数表!$C$47)</f>
        <v>144</v>
      </c>
      <c r="G8" s="92">
        <f>参数表!$C$45*参数表!$C$46*(1+参数表!$C$47)</f>
        <v>144</v>
      </c>
      <c r="H8" s="92">
        <f>参数表!$C$45*参数表!$C$46*(1+参数表!$C$47)</f>
        <v>144</v>
      </c>
      <c r="I8" s="92">
        <f>参数表!$C$45*参数表!$C$46*(1+参数表!$C$47)</f>
        <v>144</v>
      </c>
      <c r="J8" s="92">
        <f>参数表!$C$45*参数表!$C$46*(1+参数表!$C$47)</f>
        <v>144</v>
      </c>
      <c r="K8" s="92">
        <f>参数表!$C$45*参数表!$C$46*(1+参数表!$C$47)</f>
        <v>144</v>
      </c>
      <c r="L8" s="92">
        <f>参数表!$C$45*参数表!$C$46*(1+参数表!$C$47)</f>
        <v>144</v>
      </c>
      <c r="M8" s="92">
        <f>参数表!$C$45*参数表!$C$46*(1+参数表!$C$47)</f>
        <v>144</v>
      </c>
      <c r="N8" s="92">
        <f>参数表!$C$45*参数表!$C$46*(1+参数表!$C$47)</f>
        <v>144</v>
      </c>
      <c r="O8" s="92">
        <f>参数表!$C$45*参数表!$C$46*(1+参数表!$C$47)</f>
        <v>144</v>
      </c>
      <c r="P8" s="92">
        <f>参数表!$C$45*参数表!$C$46*(1+参数表!$C$47)</f>
        <v>144</v>
      </c>
      <c r="Q8" s="92">
        <f>参数表!$C$45*参数表!$C$46*(1+参数表!$C$47)</f>
        <v>144</v>
      </c>
      <c r="R8" s="92">
        <f>参数表!$C$45*参数表!$C$46*(1+参数表!$C$47)</f>
        <v>144</v>
      </c>
      <c r="S8" s="92">
        <f>参数表!$C$45*参数表!$C$46*(1+参数表!$C$47)</f>
        <v>144</v>
      </c>
      <c r="T8" s="92">
        <f>参数表!$C$45*参数表!$C$46*(1+参数表!$C$47)</f>
        <v>144</v>
      </c>
      <c r="U8" s="92">
        <f>参数表!$C$45*参数表!$C$46*(1+参数表!$C$47)</f>
        <v>144</v>
      </c>
      <c r="V8" s="92">
        <f>参数表!$C$45*参数表!$C$46*(1+参数表!$C$47)</f>
        <v>144</v>
      </c>
      <c r="W8" s="92">
        <f>参数表!$C$45*参数表!$C$46*(1+参数表!$C$47)</f>
        <v>144</v>
      </c>
      <c r="X8" s="92">
        <f>参数表!$C$45*参数表!$C$46*(1+参数表!$C$47)</f>
        <v>144</v>
      </c>
      <c r="Y8" s="155">
        <f t="shared" si="2"/>
        <v>2880</v>
      </c>
    </row>
    <row r="9" spans="2:32" ht="14.6" x14ac:dyDescent="0.35">
      <c r="B9" s="42">
        <v>4</v>
      </c>
      <c r="C9" s="47" t="s">
        <v>291</v>
      </c>
      <c r="D9" s="125"/>
      <c r="E9" s="92">
        <f>E31*参数表!$C$50</f>
        <v>91.714985392102264</v>
      </c>
      <c r="F9" s="92">
        <f>F31*参数表!$C$50</f>
        <v>85.513616273063334</v>
      </c>
      <c r="G9" s="92">
        <f>G31*参数表!$C$50</f>
        <v>79.312247154024377</v>
      </c>
      <c r="H9" s="92">
        <f>H31*参数表!$C$50</f>
        <v>73.110878034985433</v>
      </c>
      <c r="I9" s="92">
        <f>I31*参数表!$C$50</f>
        <v>66.909508915946489</v>
      </c>
      <c r="J9" s="92">
        <f>J31*参数表!$C$50</f>
        <v>60.708139796907545</v>
      </c>
      <c r="K9" s="92">
        <f>K31*参数表!$C$50</f>
        <v>54.506770677868602</v>
      </c>
      <c r="L9" s="92">
        <f>L31*参数表!$C$50</f>
        <v>48.305401558829658</v>
      </c>
      <c r="M9" s="92">
        <f>M31*参数表!$C$50</f>
        <v>42.104032439790707</v>
      </c>
      <c r="N9" s="92">
        <f>N31*参数表!$C$50</f>
        <v>35.90266332075177</v>
      </c>
      <c r="O9" s="92">
        <f>O31*参数表!$C$50</f>
        <v>29.701294201712827</v>
      </c>
      <c r="P9" s="92">
        <f>P31*参数表!$C$50</f>
        <v>23.499925082673887</v>
      </c>
      <c r="Q9" s="92">
        <f>Q31*参数表!$C$50</f>
        <v>17.298555963634946</v>
      </c>
      <c r="R9" s="92">
        <f>R31*参数表!$C$50</f>
        <v>11.097186844596004</v>
      </c>
      <c r="S9" s="92">
        <f>S31*参数表!$C$50</f>
        <v>4.8958177255570616</v>
      </c>
      <c r="T9" s="92">
        <f>T31*参数表!$C$50</f>
        <v>4.8958177255570616</v>
      </c>
      <c r="U9" s="92">
        <f>U31*参数表!$C$50</f>
        <v>4.8958177255570616</v>
      </c>
      <c r="V9" s="92">
        <f>V31*参数表!$C$50</f>
        <v>4.8958177255570616</v>
      </c>
      <c r="W9" s="92">
        <f>W31*参数表!$C$50</f>
        <v>4.8958177255570616</v>
      </c>
      <c r="X9" s="92">
        <f>X31*参数表!$C$50</f>
        <v>4.8958177255570616</v>
      </c>
      <c r="Y9" s="155">
        <f t="shared" si="2"/>
        <v>749.06011201023045</v>
      </c>
      <c r="AA9" s="444"/>
    </row>
    <row r="10" spans="2:32" ht="14.6" x14ac:dyDescent="0.35">
      <c r="B10" s="42">
        <v>5</v>
      </c>
      <c r="C10" s="47" t="s">
        <v>290</v>
      </c>
      <c r="D10" s="125"/>
      <c r="E10" s="92">
        <f>参数表!$C$49*参数表!$C$2</f>
        <v>20</v>
      </c>
      <c r="F10" s="92">
        <f>参数表!$C$49*参数表!$C$2</f>
        <v>20</v>
      </c>
      <c r="G10" s="92">
        <f>参数表!$C$49*参数表!$C$2</f>
        <v>20</v>
      </c>
      <c r="H10" s="92">
        <f>参数表!$C$49*参数表!$C$2</f>
        <v>20</v>
      </c>
      <c r="I10" s="92">
        <f>参数表!$C$49*参数表!$C$2</f>
        <v>20</v>
      </c>
      <c r="J10" s="92">
        <f>参数表!$C$49*参数表!$C$2</f>
        <v>20</v>
      </c>
      <c r="K10" s="92">
        <f>参数表!$C$49*参数表!$C$2</f>
        <v>20</v>
      </c>
      <c r="L10" s="92">
        <f>参数表!$C$49*参数表!$C$2</f>
        <v>20</v>
      </c>
      <c r="M10" s="92">
        <f>参数表!$C$49*参数表!$C$2</f>
        <v>20</v>
      </c>
      <c r="N10" s="92">
        <f>参数表!$C$49*参数表!$C$2</f>
        <v>20</v>
      </c>
      <c r="O10" s="92">
        <f>参数表!$C$49*参数表!$C$2</f>
        <v>20</v>
      </c>
      <c r="P10" s="92">
        <f>参数表!$C$49*参数表!$C$2</f>
        <v>20</v>
      </c>
      <c r="Q10" s="92">
        <f>参数表!$C$49*参数表!$C$2</f>
        <v>20</v>
      </c>
      <c r="R10" s="92">
        <f>参数表!$C$49*参数表!$C$2</f>
        <v>20</v>
      </c>
      <c r="S10" s="92">
        <f>参数表!$C$49*参数表!$C$2</f>
        <v>20</v>
      </c>
      <c r="T10" s="92">
        <f>参数表!$C$49*参数表!$C$2</f>
        <v>20</v>
      </c>
      <c r="U10" s="92">
        <f>参数表!$C$49*参数表!$C$2</f>
        <v>20</v>
      </c>
      <c r="V10" s="92">
        <f>参数表!$C$49*参数表!$C$2</f>
        <v>20</v>
      </c>
      <c r="W10" s="92">
        <f>参数表!$C$49*参数表!$C$2</f>
        <v>20</v>
      </c>
      <c r="X10" s="92">
        <f>参数表!$C$49*参数表!$C$2</f>
        <v>20</v>
      </c>
      <c r="Y10" s="155">
        <f t="shared" si="2"/>
        <v>400</v>
      </c>
    </row>
    <row r="11" spans="2:32" ht="14.6" x14ac:dyDescent="0.35">
      <c r="B11" s="42">
        <v>6</v>
      </c>
      <c r="C11" s="47" t="s">
        <v>128</v>
      </c>
      <c r="D11" s="125"/>
      <c r="E11" s="92"/>
      <c r="F11" s="92"/>
      <c r="G11" s="92"/>
      <c r="H11" s="92"/>
      <c r="I11" s="92"/>
      <c r="J11" s="92"/>
      <c r="K11" s="92"/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155">
        <f t="shared" si="2"/>
        <v>0</v>
      </c>
    </row>
    <row r="12" spans="2:32" ht="14.6" x14ac:dyDescent="0.35">
      <c r="B12" s="42">
        <v>7</v>
      </c>
      <c r="C12" s="47" t="s">
        <v>129</v>
      </c>
      <c r="D12" s="125"/>
      <c r="E12" s="92">
        <f>F56</f>
        <v>0</v>
      </c>
      <c r="F12" s="92">
        <f t="shared" ref="F12:X12" si="3">G56</f>
        <v>0</v>
      </c>
      <c r="G12" s="92">
        <f t="shared" si="3"/>
        <v>0</v>
      </c>
      <c r="H12" s="92">
        <f t="shared" si="3"/>
        <v>0</v>
      </c>
      <c r="I12" s="92">
        <f t="shared" si="3"/>
        <v>0</v>
      </c>
      <c r="J12" s="92">
        <f t="shared" si="3"/>
        <v>0</v>
      </c>
      <c r="K12" s="92">
        <f t="shared" si="3"/>
        <v>0</v>
      </c>
      <c r="L12" s="92">
        <f t="shared" si="3"/>
        <v>0</v>
      </c>
      <c r="M12" s="92">
        <f t="shared" si="3"/>
        <v>0</v>
      </c>
      <c r="N12" s="92">
        <f t="shared" si="3"/>
        <v>0</v>
      </c>
      <c r="O12" s="92">
        <f t="shared" si="3"/>
        <v>0</v>
      </c>
      <c r="P12" s="92">
        <f t="shared" si="3"/>
        <v>0</v>
      </c>
      <c r="Q12" s="92">
        <f t="shared" si="3"/>
        <v>0</v>
      </c>
      <c r="R12" s="92">
        <f t="shared" si="3"/>
        <v>0</v>
      </c>
      <c r="S12" s="92">
        <f t="shared" si="3"/>
        <v>0</v>
      </c>
      <c r="T12" s="92">
        <f t="shared" si="3"/>
        <v>0</v>
      </c>
      <c r="U12" s="92">
        <f t="shared" si="3"/>
        <v>0</v>
      </c>
      <c r="V12" s="92">
        <f t="shared" si="3"/>
        <v>0</v>
      </c>
      <c r="W12" s="92">
        <f t="shared" si="3"/>
        <v>0</v>
      </c>
      <c r="X12" s="92">
        <f t="shared" si="3"/>
        <v>0</v>
      </c>
      <c r="Y12" s="155">
        <f t="shared" si="2"/>
        <v>0</v>
      </c>
    </row>
    <row r="13" spans="2:32" ht="14.6" x14ac:dyDescent="0.35">
      <c r="B13" s="42">
        <v>8</v>
      </c>
      <c r="C13" s="47" t="s">
        <v>130</v>
      </c>
      <c r="D13" s="125"/>
      <c r="E13" s="92">
        <f t="shared" ref="E13:X13" si="4">SUM(E14:E17)</f>
        <v>1692.7228475392146</v>
      </c>
      <c r="F13" s="92">
        <f t="shared" si="4"/>
        <v>1687.7079886342826</v>
      </c>
      <c r="G13" s="92">
        <f t="shared" si="4"/>
        <v>1677.5409415983609</v>
      </c>
      <c r="H13" s="92">
        <f t="shared" si="4"/>
        <v>1668.321213479366</v>
      </c>
      <c r="I13" s="92">
        <f t="shared" si="4"/>
        <v>1657.9527170261472</v>
      </c>
      <c r="J13" s="92">
        <f t="shared" si="4"/>
        <v>1646.3620612365528</v>
      </c>
      <c r="K13" s="92">
        <f t="shared" si="4"/>
        <v>1647.1014715883853</v>
      </c>
      <c r="L13" s="92">
        <f t="shared" si="4"/>
        <v>1647.0515784820195</v>
      </c>
      <c r="M13" s="92">
        <f t="shared" si="4"/>
        <v>1646.1510135126841</v>
      </c>
      <c r="N13" s="92">
        <f t="shared" si="4"/>
        <v>1644.3344140984877</v>
      </c>
      <c r="O13" s="92">
        <f t="shared" si="4"/>
        <v>1641.5321848257904</v>
      </c>
      <c r="P13" s="92">
        <f t="shared" si="4"/>
        <v>1646.1889680750783</v>
      </c>
      <c r="Q13" s="92">
        <f t="shared" si="4"/>
        <v>1650.0777734128574</v>
      </c>
      <c r="R13" s="92">
        <f t="shared" si="4"/>
        <v>1653.1308551670943</v>
      </c>
      <c r="S13" s="92">
        <f t="shared" si="4"/>
        <v>1655.2758381360106</v>
      </c>
      <c r="T13" s="92">
        <f t="shared" si="4"/>
        <v>1656.4354337564828</v>
      </c>
      <c r="U13" s="92">
        <f t="shared" si="4"/>
        <v>1683.4819975658288</v>
      </c>
      <c r="V13" s="92">
        <f t="shared" si="4"/>
        <v>1712.7399847290976</v>
      </c>
      <c r="W13" s="92">
        <f t="shared" si="4"/>
        <v>1748.3819367588496</v>
      </c>
      <c r="X13" s="92">
        <f t="shared" si="4"/>
        <v>1785.5743137018956</v>
      </c>
      <c r="Y13" s="155">
        <f t="shared" si="2"/>
        <v>33448.065533324494</v>
      </c>
    </row>
    <row r="14" spans="2:32" ht="14.6" x14ac:dyDescent="0.35">
      <c r="B14" s="42">
        <v>8.1</v>
      </c>
      <c r="C14" s="200" t="s">
        <v>131</v>
      </c>
      <c r="D14" s="127"/>
      <c r="E14" s="92">
        <f>还贷!E11</f>
        <v>1690.1128475392147</v>
      </c>
      <c r="F14" s="92">
        <f>还贷!F11</f>
        <v>1611.1415362760945</v>
      </c>
      <c r="G14" s="92">
        <f>还贷!G11</f>
        <v>1528.3006307610815</v>
      </c>
      <c r="H14" s="92">
        <f>还贷!H11</f>
        <v>1441.4005208758329</v>
      </c>
      <c r="I14" s="92">
        <f>还贷!I11</f>
        <v>1350.2423056062069</v>
      </c>
      <c r="J14" s="92">
        <f>还贷!J11</f>
        <v>1254.6173377883695</v>
      </c>
      <c r="K14" s="92">
        <f>还贷!K11</f>
        <v>1154.3067465474578</v>
      </c>
      <c r="L14" s="92">
        <f>还贷!L11</f>
        <v>1049.0809363357416</v>
      </c>
      <c r="M14" s="92">
        <f>还贷!M11</f>
        <v>938.6990614236513</v>
      </c>
      <c r="N14" s="92">
        <f>还贷!N11</f>
        <v>822.90847464086846</v>
      </c>
      <c r="O14" s="92">
        <f>还贷!O11</f>
        <v>701.44414910572937</v>
      </c>
      <c r="P14" s="92">
        <f>还贷!P11</f>
        <v>574.02807161936835</v>
      </c>
      <c r="Q14" s="92">
        <f>还贷!Q11</f>
        <v>440.36860633617573</v>
      </c>
      <c r="R14" s="92">
        <f>还贷!R11</f>
        <v>300.15982725410669</v>
      </c>
      <c r="S14" s="92">
        <f>还贷!S11</f>
        <v>153.08081799701625</v>
      </c>
      <c r="T14" s="92">
        <f>还贷!T11</f>
        <v>-1.2050627136716268</v>
      </c>
      <c r="U14" s="92">
        <f>还贷!U11</f>
        <v>-1.2050627136716268</v>
      </c>
      <c r="V14" s="92">
        <f>还贷!V11</f>
        <v>-1.2050627136716268</v>
      </c>
      <c r="W14" s="92">
        <f>还贷!W11</f>
        <v>-1.2050627136716268</v>
      </c>
      <c r="X14" s="92">
        <f>还贷!X11</f>
        <v>-1.2050627136716268</v>
      </c>
      <c r="Y14" s="155">
        <f t="shared" si="2"/>
        <v>15003.866556538555</v>
      </c>
    </row>
    <row r="15" spans="2:32" ht="14.6" x14ac:dyDescent="0.35">
      <c r="B15" s="42">
        <v>8.1999999999999993</v>
      </c>
      <c r="C15" s="200" t="s">
        <v>132</v>
      </c>
      <c r="D15" s="127"/>
      <c r="E15" s="92">
        <f>还贷!E16</f>
        <v>2.61</v>
      </c>
      <c r="F15" s="92">
        <f>还贷!F16</f>
        <v>2.61</v>
      </c>
      <c r="G15" s="92">
        <f>还贷!G16</f>
        <v>2.61</v>
      </c>
      <c r="H15" s="92">
        <f>还贷!H16</f>
        <v>2.61</v>
      </c>
      <c r="I15" s="92">
        <f>还贷!I16</f>
        <v>2.61</v>
      </c>
      <c r="J15" s="92">
        <f>还贷!J16</f>
        <v>2.61</v>
      </c>
      <c r="K15" s="92">
        <f>还贷!K16</f>
        <v>2.61</v>
      </c>
      <c r="L15" s="92">
        <f>还贷!L16</f>
        <v>2.61</v>
      </c>
      <c r="M15" s="92">
        <f>还贷!M16</f>
        <v>2.61</v>
      </c>
      <c r="N15" s="92">
        <f>还贷!N16</f>
        <v>2.61</v>
      </c>
      <c r="O15" s="92">
        <f>还贷!O16</f>
        <v>2.61</v>
      </c>
      <c r="P15" s="92">
        <f>还贷!P16</f>
        <v>2.61</v>
      </c>
      <c r="Q15" s="92">
        <f>还贷!Q16</f>
        <v>2.61</v>
      </c>
      <c r="R15" s="92">
        <f>还贷!R16</f>
        <v>2.61</v>
      </c>
      <c r="S15" s="92">
        <f>还贷!S16</f>
        <v>2.61</v>
      </c>
      <c r="T15" s="92">
        <f>还贷!T16</f>
        <v>2.61</v>
      </c>
      <c r="U15" s="92">
        <f>还贷!U16</f>
        <v>2.61</v>
      </c>
      <c r="V15" s="92">
        <f>还贷!V16</f>
        <v>2.61</v>
      </c>
      <c r="W15" s="92">
        <f>还贷!W16</f>
        <v>2.61</v>
      </c>
      <c r="X15" s="92">
        <f>还贷!X16</f>
        <v>2.61</v>
      </c>
      <c r="Y15" s="155">
        <f t="shared" si="2"/>
        <v>52.199999999999996</v>
      </c>
    </row>
    <row r="16" spans="2:32" ht="14.6" x14ac:dyDescent="0.35">
      <c r="B16" s="42">
        <v>8.3000000000000007</v>
      </c>
      <c r="C16" s="126" t="s">
        <v>133</v>
      </c>
      <c r="D16" s="127"/>
      <c r="E16" s="92">
        <f>还贷!E21</f>
        <v>0</v>
      </c>
      <c r="F16" s="92">
        <f>还贷!F21</f>
        <v>73.956452358188287</v>
      </c>
      <c r="G16" s="92">
        <f>还贷!G21</f>
        <v>146.63031083727958</v>
      </c>
      <c r="H16" s="92">
        <f>还贷!H21</f>
        <v>224.31069260353314</v>
      </c>
      <c r="I16" s="92">
        <f>还贷!I21</f>
        <v>305.10041141994054</v>
      </c>
      <c r="J16" s="92">
        <f>还贷!J21</f>
        <v>389.13472344818342</v>
      </c>
      <c r="K16" s="92">
        <f>还贷!K21</f>
        <v>490.18472504092756</v>
      </c>
      <c r="L16" s="92">
        <f>还贷!L21</f>
        <v>595.36064214627788</v>
      </c>
      <c r="M16" s="92">
        <f>还贷!M21</f>
        <v>704.84195208903282</v>
      </c>
      <c r="N16" s="92">
        <f>还贷!N21</f>
        <v>818.81593945761927</v>
      </c>
      <c r="O16" s="92">
        <f>还贷!O21</f>
        <v>937.47803572006103</v>
      </c>
      <c r="P16" s="92">
        <f>还贷!P21</f>
        <v>1069.55089645571</v>
      </c>
      <c r="Q16" s="92">
        <f>还贷!Q21</f>
        <v>1207.0991670766816</v>
      </c>
      <c r="R16" s="92">
        <f>还贷!R21</f>
        <v>1350.3610279129875</v>
      </c>
      <c r="S16" s="92">
        <f>还贷!S21</f>
        <v>1499.5850201389944</v>
      </c>
      <c r="T16" s="92">
        <f>还贷!T21</f>
        <v>1655.0304964701545</v>
      </c>
      <c r="U16" s="92">
        <f>还贷!U21</f>
        <v>1682.0770602795005</v>
      </c>
      <c r="V16" s="92">
        <f>还贷!V21</f>
        <v>1711.3350474427693</v>
      </c>
      <c r="W16" s="92">
        <f>还贷!W21</f>
        <v>1746.9769994725214</v>
      </c>
      <c r="X16" s="92">
        <f>还贷!X21</f>
        <v>1784.1693764155673</v>
      </c>
      <c r="Y16" s="155">
        <f t="shared" si="2"/>
        <v>18391.99897678593</v>
      </c>
    </row>
    <row r="17" spans="2:32" ht="14.6" x14ac:dyDescent="0.35">
      <c r="B17" s="42">
        <v>8.4</v>
      </c>
      <c r="C17" s="200" t="s">
        <v>134</v>
      </c>
      <c r="D17" s="127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155">
        <f t="shared" si="2"/>
        <v>0</v>
      </c>
    </row>
    <row r="18" spans="2:32" ht="14.6" x14ac:dyDescent="0.35">
      <c r="B18" s="42">
        <v>9</v>
      </c>
      <c r="C18" s="47" t="s">
        <v>332</v>
      </c>
      <c r="D18" s="125"/>
      <c r="E18" s="92">
        <f>参数表!$C$48*参数表!$C$2</f>
        <v>60</v>
      </c>
      <c r="F18" s="92">
        <f>参数表!$C$48*参数表!$C$2</f>
        <v>60</v>
      </c>
      <c r="G18" s="92">
        <f>参数表!$C$48*参数表!$C$2</f>
        <v>60</v>
      </c>
      <c r="H18" s="92">
        <f>参数表!$C$48*参数表!$C$2</f>
        <v>60</v>
      </c>
      <c r="I18" s="92">
        <f>参数表!$C$48*参数表!$C$2</f>
        <v>60</v>
      </c>
      <c r="J18" s="92">
        <f>参数表!$C$48*参数表!$C$2</f>
        <v>60</v>
      </c>
      <c r="K18" s="92">
        <f>参数表!$C$48*参数表!$C$2</f>
        <v>60</v>
      </c>
      <c r="L18" s="92">
        <f>参数表!$C$48*参数表!$C$2</f>
        <v>60</v>
      </c>
      <c r="M18" s="92">
        <f>参数表!$C$48*参数表!$C$2</f>
        <v>60</v>
      </c>
      <c r="N18" s="92">
        <f>参数表!$C$48*参数表!$C$2</f>
        <v>60</v>
      </c>
      <c r="O18" s="92">
        <f>参数表!$C$48*参数表!$C$2</f>
        <v>60</v>
      </c>
      <c r="P18" s="92">
        <f>参数表!$C$48*参数表!$C$2</f>
        <v>60</v>
      </c>
      <c r="Q18" s="92">
        <f>参数表!$C$48*参数表!$C$2</f>
        <v>60</v>
      </c>
      <c r="R18" s="92">
        <f>参数表!$C$48*参数表!$C$2</f>
        <v>60</v>
      </c>
      <c r="S18" s="92">
        <f>参数表!$C$48*参数表!$C$2</f>
        <v>60</v>
      </c>
      <c r="T18" s="92">
        <f>参数表!$C$48*参数表!$C$2</f>
        <v>60</v>
      </c>
      <c r="U18" s="92">
        <f>参数表!$C$48*参数表!$C$2</f>
        <v>60</v>
      </c>
      <c r="V18" s="92">
        <f>参数表!$C$48*参数表!$C$2</f>
        <v>60</v>
      </c>
      <c r="W18" s="92">
        <f>参数表!$C$48*参数表!$C$2</f>
        <v>60</v>
      </c>
      <c r="X18" s="92">
        <f>参数表!$C$48*参数表!$C$2</f>
        <v>60</v>
      </c>
      <c r="Y18" s="155">
        <f t="shared" si="2"/>
        <v>1200</v>
      </c>
    </row>
    <row r="19" spans="2:32" ht="14.6" x14ac:dyDescent="0.35">
      <c r="B19" s="83"/>
      <c r="C19" s="128" t="s">
        <v>135</v>
      </c>
      <c r="D19" s="125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55">
        <f t="shared" si="2"/>
        <v>0</v>
      </c>
    </row>
    <row r="20" spans="2:32" ht="14.6" x14ac:dyDescent="0.35">
      <c r="B20" s="83"/>
      <c r="C20" s="128" t="s">
        <v>136</v>
      </c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55">
        <f t="shared" si="2"/>
        <v>0</v>
      </c>
    </row>
    <row r="21" spans="2:32" ht="14.6" x14ac:dyDescent="0.35">
      <c r="B21" s="83"/>
      <c r="C21" s="202" t="s">
        <v>101</v>
      </c>
      <c r="D21" s="125"/>
      <c r="E21" s="92">
        <f>SUM(E6:E13)+E18</f>
        <v>4567.3185641558066</v>
      </c>
      <c r="F21" s="92">
        <f t="shared" ref="F21:X21" si="5">SUM(F6:F13)+F18</f>
        <v>4556.1023361318357</v>
      </c>
      <c r="G21" s="92">
        <f t="shared" si="5"/>
        <v>4539.7339199768758</v>
      </c>
      <c r="H21" s="92">
        <f t="shared" si="5"/>
        <v>4524.3128227388415</v>
      </c>
      <c r="I21" s="92">
        <f t="shared" si="5"/>
        <v>4507.7429571665834</v>
      </c>
      <c r="J21" s="92">
        <f t="shared" si="5"/>
        <v>4803.2832666936019</v>
      </c>
      <c r="K21" s="92">
        <f t="shared" si="5"/>
        <v>4797.8213079263951</v>
      </c>
      <c r="L21" s="92">
        <f t="shared" si="5"/>
        <v>4791.5700457009907</v>
      </c>
      <c r="M21" s="92">
        <f t="shared" si="5"/>
        <v>4784.4681116126167</v>
      </c>
      <c r="N21" s="92">
        <f t="shared" si="5"/>
        <v>4776.4501430793807</v>
      </c>
      <c r="O21" s="92">
        <f t="shared" si="5"/>
        <v>4963.2792537099267</v>
      </c>
      <c r="P21" s="92">
        <f t="shared" si="5"/>
        <v>4961.7346678401764</v>
      </c>
      <c r="Q21" s="92">
        <f t="shared" si="5"/>
        <v>4959.4221040589164</v>
      </c>
      <c r="R21" s="92">
        <f t="shared" si="5"/>
        <v>4956.2738166941144</v>
      </c>
      <c r="S21" s="92">
        <f t="shared" si="5"/>
        <v>4952.2174305439921</v>
      </c>
      <c r="T21" s="92">
        <f t="shared" si="5"/>
        <v>2668.6620875711696</v>
      </c>
      <c r="U21" s="92">
        <f t="shared" si="5"/>
        <v>2695.7086513805157</v>
      </c>
      <c r="V21" s="92">
        <f t="shared" si="5"/>
        <v>2724.9666385437845</v>
      </c>
      <c r="W21" s="92">
        <f t="shared" si="5"/>
        <v>2760.6085905735363</v>
      </c>
      <c r="X21" s="92">
        <f t="shared" si="5"/>
        <v>2797.8009675165822</v>
      </c>
      <c r="Y21" s="155">
        <f t="shared" si="2"/>
        <v>85089.477683615652</v>
      </c>
    </row>
    <row r="22" spans="2:32" ht="18" customHeight="1" thickBot="1" x14ac:dyDescent="0.4">
      <c r="B22" s="129"/>
      <c r="C22" s="130" t="s">
        <v>137</v>
      </c>
      <c r="D22" s="131"/>
      <c r="E22" s="132">
        <f>E7+E8+E9+E10+E18</f>
        <v>394.04806900101522</v>
      </c>
      <c r="F22" s="132">
        <f>F7+F8+F9+F10+F18</f>
        <v>387.84669988197629</v>
      </c>
      <c r="G22" s="132">
        <f t="shared" ref="G22:X22" si="6">G7+G8+G9+G10+G18</f>
        <v>381.64533076293731</v>
      </c>
      <c r="H22" s="132">
        <f t="shared" si="6"/>
        <v>375.44396164389838</v>
      </c>
      <c r="I22" s="132">
        <f t="shared" si="6"/>
        <v>369.24259252485945</v>
      </c>
      <c r="J22" s="132">
        <f t="shared" si="6"/>
        <v>676.37355784147235</v>
      </c>
      <c r="K22" s="132">
        <f t="shared" si="6"/>
        <v>670.17218872243348</v>
      </c>
      <c r="L22" s="132">
        <f t="shared" si="6"/>
        <v>663.97081960339449</v>
      </c>
      <c r="M22" s="132">
        <f t="shared" si="6"/>
        <v>657.7694504843555</v>
      </c>
      <c r="N22" s="132">
        <f t="shared" si="6"/>
        <v>651.56808136531663</v>
      </c>
      <c r="O22" s="132">
        <f t="shared" si="6"/>
        <v>841.19942126855995</v>
      </c>
      <c r="P22" s="132">
        <f t="shared" si="6"/>
        <v>834.99805214952107</v>
      </c>
      <c r="Q22" s="132">
        <f t="shared" si="6"/>
        <v>828.79668303048209</v>
      </c>
      <c r="R22" s="132">
        <f t="shared" si="6"/>
        <v>822.5953139114431</v>
      </c>
      <c r="S22" s="132">
        <f t="shared" si="6"/>
        <v>816.39394479240423</v>
      </c>
      <c r="T22" s="132">
        <f t="shared" si="6"/>
        <v>1012.2266538146868</v>
      </c>
      <c r="U22" s="132">
        <f t="shared" si="6"/>
        <v>1012.2266538146868</v>
      </c>
      <c r="V22" s="132">
        <f t="shared" si="6"/>
        <v>1012.2266538146868</v>
      </c>
      <c r="W22" s="132">
        <f t="shared" si="6"/>
        <v>1012.2266538146868</v>
      </c>
      <c r="X22" s="132">
        <f t="shared" si="6"/>
        <v>1012.2266538146868</v>
      </c>
      <c r="Y22" s="411">
        <f t="shared" si="2"/>
        <v>14433.197436057504</v>
      </c>
    </row>
    <row r="24" spans="2:32" ht="14.6" thickBot="1" x14ac:dyDescent="0.35">
      <c r="B24" s="134"/>
      <c r="C24" s="135"/>
      <c r="D24" s="136"/>
      <c r="E24" s="136"/>
      <c r="F24" s="136"/>
      <c r="G24" s="136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203" t="s">
        <v>138</v>
      </c>
    </row>
    <row r="25" spans="2:32" x14ac:dyDescent="0.3">
      <c r="B25" s="497" t="s">
        <v>1</v>
      </c>
      <c r="C25" s="506" t="s">
        <v>64</v>
      </c>
      <c r="D25" s="507" t="s">
        <v>68</v>
      </c>
      <c r="E25" s="244" t="s">
        <v>91</v>
      </c>
      <c r="F25" s="373"/>
      <c r="G25" s="373"/>
      <c r="H25" s="373"/>
      <c r="I25" s="373"/>
      <c r="J25" s="373"/>
      <c r="K25" s="373"/>
      <c r="L25" s="373"/>
      <c r="M25" s="373"/>
      <c r="N25" s="373"/>
      <c r="O25" s="373"/>
      <c r="P25" s="373"/>
      <c r="Q25" s="373"/>
      <c r="R25" s="373"/>
      <c r="S25" s="373"/>
      <c r="T25" s="373"/>
      <c r="U25" s="373"/>
      <c r="V25" s="373"/>
      <c r="W25" s="373"/>
      <c r="X25" s="412"/>
    </row>
    <row r="26" spans="2:32" x14ac:dyDescent="0.3">
      <c r="B26" s="498"/>
      <c r="C26" s="500"/>
      <c r="D26" s="508"/>
      <c r="E26" s="43">
        <v>1</v>
      </c>
      <c r="F26" s="43">
        <f t="shared" ref="F26:X26" si="7">F4</f>
        <v>2</v>
      </c>
      <c r="G26" s="43">
        <f t="shared" si="7"/>
        <v>3</v>
      </c>
      <c r="H26" s="43">
        <f t="shared" si="7"/>
        <v>4</v>
      </c>
      <c r="I26" s="43">
        <f t="shared" si="7"/>
        <v>5</v>
      </c>
      <c r="J26" s="43">
        <f t="shared" si="7"/>
        <v>6</v>
      </c>
      <c r="K26" s="43">
        <f t="shared" si="7"/>
        <v>7</v>
      </c>
      <c r="L26" s="43">
        <f t="shared" si="7"/>
        <v>8</v>
      </c>
      <c r="M26" s="43">
        <f t="shared" si="7"/>
        <v>9</v>
      </c>
      <c r="N26" s="43">
        <f t="shared" si="7"/>
        <v>10</v>
      </c>
      <c r="O26" s="43">
        <f t="shared" si="7"/>
        <v>11</v>
      </c>
      <c r="P26" s="43">
        <f t="shared" si="7"/>
        <v>12</v>
      </c>
      <c r="Q26" s="43">
        <f t="shared" si="7"/>
        <v>13</v>
      </c>
      <c r="R26" s="43">
        <f t="shared" si="7"/>
        <v>14</v>
      </c>
      <c r="S26" s="43">
        <f t="shared" si="7"/>
        <v>15</v>
      </c>
      <c r="T26" s="43">
        <f t="shared" si="7"/>
        <v>16</v>
      </c>
      <c r="U26" s="43">
        <f t="shared" si="7"/>
        <v>17</v>
      </c>
      <c r="V26" s="43">
        <f t="shared" si="7"/>
        <v>18</v>
      </c>
      <c r="W26" s="43">
        <f t="shared" si="7"/>
        <v>19</v>
      </c>
      <c r="X26" s="405">
        <f t="shared" si="7"/>
        <v>20</v>
      </c>
    </row>
    <row r="27" spans="2:32" x14ac:dyDescent="0.3">
      <c r="B27" s="138">
        <v>1</v>
      </c>
      <c r="C27" s="199" t="s">
        <v>139</v>
      </c>
      <c r="D27" s="140"/>
      <c r="E27" s="140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120"/>
    </row>
    <row r="28" spans="2:32" ht="28.3" x14ac:dyDescent="0.3">
      <c r="B28" s="138"/>
      <c r="C28" s="204" t="s">
        <v>140</v>
      </c>
      <c r="D28" s="141">
        <f>参数表!C20</f>
        <v>3963.5818572581848</v>
      </c>
      <c r="E28" s="140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120"/>
    </row>
    <row r="29" spans="2:32" x14ac:dyDescent="0.3">
      <c r="B29" s="138"/>
      <c r="C29" s="142" t="s">
        <v>141</v>
      </c>
      <c r="D29" s="141">
        <f>投资计划!C9-D28</f>
        <v>39166.541804456479</v>
      </c>
      <c r="E29" s="143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120"/>
    </row>
    <row r="30" spans="2:32" x14ac:dyDescent="0.35">
      <c r="B30" s="138"/>
      <c r="C30" s="142" t="s">
        <v>142</v>
      </c>
      <c r="D30" s="140"/>
      <c r="E30" s="92">
        <f>IF(参数表!$C$39-E26+$E$26-1&gt;=0,$D$29*参数表!$C$41*参数表!D5,0)</f>
        <v>2480.5476476155768</v>
      </c>
      <c r="F30" s="92">
        <f>IF(参数表!$C$39-F26+$E$26-1&gt;=0,$D$29*参数表!$C$41*参数表!E5,0)</f>
        <v>2480.5476476155768</v>
      </c>
      <c r="G30" s="92">
        <f>IF(参数表!$C$39-G26+$E$26-1&gt;=0,$D$29*参数表!$C$41*参数表!F5,0)</f>
        <v>2480.5476476155768</v>
      </c>
      <c r="H30" s="92">
        <f>IF(参数表!$C$39-H26+$E$26-1&gt;=0,$D$29*参数表!$C$41*参数表!G5,0)</f>
        <v>2480.5476476155768</v>
      </c>
      <c r="I30" s="92">
        <f>IF(参数表!$C$39-I26+$E$26-1&gt;=0,$D$29*参数表!$C$41*参数表!H5,0)</f>
        <v>2480.5476476155768</v>
      </c>
      <c r="J30" s="92">
        <f>IF(参数表!$C$39-J26+$E$26-1&gt;=0,$D$29*参数表!$C$41*参数表!I5,0)</f>
        <v>2480.5476476155768</v>
      </c>
      <c r="K30" s="92">
        <f>IF(参数表!$C$39-K26+$E$26-1&gt;=0,$D$29*参数表!$C$41*参数表!J5,0)</f>
        <v>2480.5476476155768</v>
      </c>
      <c r="L30" s="92">
        <f>IF(参数表!$C$39-L26+$E$26-1&gt;=0,$D$29*参数表!$C$41*参数表!K5,0)</f>
        <v>2480.5476476155768</v>
      </c>
      <c r="M30" s="92">
        <f>IF(参数表!$C$39-M26+$E$26-1&gt;=0,$D$29*参数表!$C$41*参数表!L5,0)</f>
        <v>2480.5476476155768</v>
      </c>
      <c r="N30" s="92">
        <f>IF(参数表!$C$39-N26+$E$26-1&gt;=0,$D$29*参数表!$C$41*参数表!M5,0)</f>
        <v>2480.5476476155768</v>
      </c>
      <c r="O30" s="92">
        <f>IF(参数表!$C$39-O26+$E$26-1&gt;=0,$D$29*参数表!$C$41*参数表!N5,0)</f>
        <v>2480.5476476155768</v>
      </c>
      <c r="P30" s="92">
        <f>IF(参数表!$C$39-P26+$E$26-1&gt;=0,$D$29*参数表!$C$41*参数表!O5,0)</f>
        <v>2480.5476476155768</v>
      </c>
      <c r="Q30" s="92">
        <f>IF(参数表!$C$39-Q26+$E$26-1&gt;=0,$D$29*参数表!$C$41*参数表!P5,0)</f>
        <v>2480.5476476155768</v>
      </c>
      <c r="R30" s="92">
        <f>IF(参数表!$C$39-R26+$E$26-1&gt;=0,$D$29*参数表!$C$41*参数表!Q5,0)</f>
        <v>2480.5476476155768</v>
      </c>
      <c r="S30" s="92">
        <f>IF(参数表!$C$39-S26+$E$26-1&gt;=0,$D$29*参数表!$C$41*参数表!R5,0)</f>
        <v>2480.5476476155768</v>
      </c>
      <c r="T30" s="92">
        <f>IF(参数表!$C$39-T26+$E$26-1&gt;=0,$D$29*参数表!$C$41*参数表!S5,0)</f>
        <v>0</v>
      </c>
      <c r="U30" s="92">
        <f>IF(参数表!$C$39-U26+$E$26-1&gt;=0,$D$29*参数表!$C$41*参数表!T5,0)</f>
        <v>0</v>
      </c>
      <c r="V30" s="92">
        <f>IF(参数表!$C$39-V26+$E$26-1&gt;=0,$D$29*参数表!$C$41*参数表!U5,0)</f>
        <v>0</v>
      </c>
      <c r="W30" s="92">
        <f>IF(参数表!$C$39-W26+$E$26-1&gt;=0,$D$29*参数表!$C$41*参数表!V5,0)</f>
        <v>0</v>
      </c>
      <c r="X30" s="155">
        <f>IF(参数表!$C$39-X26+$E$26-1&gt;=0,$D$29*参数表!$C$41*参数表!W5,0)</f>
        <v>0</v>
      </c>
    </row>
    <row r="31" spans="2:32" ht="14.6" thickBot="1" x14ac:dyDescent="0.4">
      <c r="B31" s="144"/>
      <c r="C31" s="145" t="s">
        <v>143</v>
      </c>
      <c r="D31" s="146"/>
      <c r="E31" s="132">
        <f>D29-E30</f>
        <v>36685.994156840905</v>
      </c>
      <c r="F31" s="132">
        <f t="shared" ref="F31:L31" si="8">E31-F30</f>
        <v>34205.44650922533</v>
      </c>
      <c r="G31" s="132">
        <f t="shared" si="8"/>
        <v>31724.898861609752</v>
      </c>
      <c r="H31" s="132">
        <f t="shared" si="8"/>
        <v>29244.351213994174</v>
      </c>
      <c r="I31" s="132">
        <f t="shared" si="8"/>
        <v>26763.803566378596</v>
      </c>
      <c r="J31" s="132">
        <f t="shared" si="8"/>
        <v>24283.255918763018</v>
      </c>
      <c r="K31" s="132">
        <f t="shared" si="8"/>
        <v>21802.70827114744</v>
      </c>
      <c r="L31" s="132">
        <f t="shared" si="8"/>
        <v>19322.160623531861</v>
      </c>
      <c r="M31" s="132">
        <f t="shared" ref="M31:X31" si="9">L31-M30</f>
        <v>16841.612975916283</v>
      </c>
      <c r="N31" s="132">
        <f t="shared" si="9"/>
        <v>14361.065328300707</v>
      </c>
      <c r="O31" s="132">
        <f t="shared" si="9"/>
        <v>11880.51768068513</v>
      </c>
      <c r="P31" s="132">
        <f t="shared" si="9"/>
        <v>9399.9700330695541</v>
      </c>
      <c r="Q31" s="132">
        <f t="shared" si="9"/>
        <v>6919.4223854539778</v>
      </c>
      <c r="R31" s="132">
        <f t="shared" si="9"/>
        <v>4438.8747378384014</v>
      </c>
      <c r="S31" s="132">
        <f t="shared" si="9"/>
        <v>1958.3270902228246</v>
      </c>
      <c r="T31" s="132">
        <f t="shared" si="9"/>
        <v>1958.3270902228246</v>
      </c>
      <c r="U31" s="132">
        <f t="shared" si="9"/>
        <v>1958.3270902228246</v>
      </c>
      <c r="V31" s="132">
        <f t="shared" si="9"/>
        <v>1958.3270902228246</v>
      </c>
      <c r="W31" s="132">
        <f t="shared" si="9"/>
        <v>1958.3270902228246</v>
      </c>
      <c r="X31" s="411">
        <f t="shared" si="9"/>
        <v>1958.3270902228246</v>
      </c>
    </row>
    <row r="32" spans="2:32" hidden="1" x14ac:dyDescent="0.3">
      <c r="B32" s="147"/>
      <c r="C32" s="148"/>
      <c r="D32" s="149"/>
      <c r="E32" s="149"/>
      <c r="F32" s="149"/>
      <c r="G32" s="149"/>
      <c r="H32" s="150"/>
      <c r="I32" s="150"/>
      <c r="J32" s="150"/>
      <c r="K32" s="150"/>
      <c r="L32" s="150"/>
      <c r="M32" s="150"/>
      <c r="N32" s="150"/>
      <c r="O32" s="150"/>
      <c r="P32" s="150"/>
      <c r="Q32" s="150"/>
      <c r="R32" s="150"/>
      <c r="S32" s="150"/>
      <c r="T32" s="150"/>
      <c r="U32" s="150"/>
      <c r="V32" s="150"/>
      <c r="W32" s="150"/>
      <c r="X32" s="150"/>
      <c r="Y32" s="150"/>
      <c r="Z32" s="150"/>
      <c r="AA32" s="150"/>
      <c r="AB32" s="150"/>
      <c r="AC32" s="150"/>
      <c r="AD32" s="150"/>
      <c r="AE32" s="150"/>
      <c r="AF32" s="156"/>
    </row>
    <row r="33" spans="2:32" hidden="1" x14ac:dyDescent="0.3">
      <c r="B33" s="138"/>
      <c r="C33" s="142"/>
      <c r="D33" s="140"/>
      <c r="E33" s="140"/>
      <c r="F33" s="140"/>
      <c r="G33" s="140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  <c r="AA33" s="61"/>
      <c r="AB33" s="61"/>
      <c r="AC33" s="61"/>
      <c r="AD33" s="61"/>
      <c r="AE33" s="61"/>
      <c r="AF33" s="120"/>
    </row>
    <row r="34" spans="2:32" hidden="1" x14ac:dyDescent="0.3">
      <c r="B34" s="138"/>
      <c r="C34" s="142"/>
      <c r="D34" s="140"/>
      <c r="E34" s="140"/>
      <c r="F34" s="140"/>
      <c r="G34" s="140"/>
      <c r="H34" s="15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151"/>
      <c r="U34" s="61"/>
      <c r="V34" s="61"/>
      <c r="W34" s="61"/>
      <c r="X34" s="61"/>
      <c r="Y34" s="61"/>
      <c r="Z34" s="61"/>
      <c r="AA34" s="61"/>
      <c r="AB34" s="61"/>
      <c r="AC34" s="61"/>
      <c r="AD34" s="61"/>
      <c r="AE34" s="61"/>
      <c r="AF34" s="120"/>
    </row>
    <row r="35" spans="2:32" hidden="1" x14ac:dyDescent="0.3">
      <c r="B35" s="138"/>
      <c r="C35" s="142"/>
      <c r="D35" s="140"/>
      <c r="E35" s="140"/>
      <c r="F35" s="140"/>
      <c r="G35" s="140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  <c r="AA35" s="61"/>
      <c r="AB35" s="61"/>
      <c r="AC35" s="61"/>
      <c r="AD35" s="61"/>
      <c r="AE35" s="61"/>
      <c r="AF35" s="120"/>
    </row>
    <row r="36" spans="2:32" hidden="1" x14ac:dyDescent="0.3">
      <c r="B36" s="138"/>
      <c r="C36" s="139"/>
      <c r="D36" s="140"/>
      <c r="E36" s="140"/>
      <c r="F36" s="140"/>
      <c r="G36" s="140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  <c r="AA36" s="61"/>
      <c r="AB36" s="61"/>
      <c r="AC36" s="61"/>
      <c r="AD36" s="61"/>
      <c r="AE36" s="61"/>
      <c r="AF36" s="120"/>
    </row>
    <row r="37" spans="2:32" hidden="1" x14ac:dyDescent="0.3">
      <c r="B37" s="138"/>
      <c r="C37" s="142"/>
      <c r="D37" s="140"/>
      <c r="E37" s="140"/>
      <c r="F37" s="140"/>
      <c r="G37" s="140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  <c r="AA37" s="61"/>
      <c r="AB37" s="61"/>
      <c r="AC37" s="61"/>
      <c r="AD37" s="61"/>
      <c r="AE37" s="61"/>
      <c r="AF37" s="120"/>
    </row>
    <row r="38" spans="2:32" hidden="1" x14ac:dyDescent="0.3">
      <c r="B38" s="138"/>
      <c r="C38" s="142"/>
      <c r="D38" s="140"/>
      <c r="E38" s="140"/>
      <c r="F38" s="140"/>
      <c r="G38" s="140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151"/>
      <c r="AC38" s="151"/>
      <c r="AD38" s="151"/>
      <c r="AE38" s="151"/>
      <c r="AF38" s="157"/>
    </row>
    <row r="39" spans="2:32" hidden="1" x14ac:dyDescent="0.3">
      <c r="B39" s="138"/>
      <c r="C39" s="142"/>
      <c r="D39" s="140"/>
      <c r="E39" s="140"/>
      <c r="F39" s="140"/>
      <c r="G39" s="140"/>
      <c r="H39" s="151"/>
      <c r="I39" s="151"/>
      <c r="J39" s="151"/>
      <c r="K39" s="151"/>
      <c r="L39" s="151"/>
      <c r="M39" s="151"/>
      <c r="N39" s="151"/>
      <c r="O39" s="151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  <c r="AB39" s="151"/>
      <c r="AC39" s="151"/>
      <c r="AD39" s="151"/>
      <c r="AE39" s="151"/>
      <c r="AF39" s="157"/>
    </row>
    <row r="40" spans="2:32" ht="14.6" hidden="1" thickBot="1" x14ac:dyDescent="0.35">
      <c r="B40" s="144"/>
      <c r="C40" s="152"/>
      <c r="D40" s="146"/>
      <c r="E40" s="146"/>
      <c r="F40" s="146"/>
      <c r="G40" s="146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2"/>
      <c r="S40" s="152"/>
      <c r="T40" s="152"/>
      <c r="U40" s="152"/>
      <c r="V40" s="152"/>
      <c r="W40" s="152"/>
      <c r="X40" s="152"/>
      <c r="Y40" s="152"/>
      <c r="Z40" s="152"/>
      <c r="AA40" s="152"/>
      <c r="AB40" s="152"/>
      <c r="AC40" s="152"/>
      <c r="AD40" s="152"/>
      <c r="AE40" s="152"/>
      <c r="AF40" s="121"/>
    </row>
    <row r="41" spans="2:32" hidden="1" x14ac:dyDescent="0.3"/>
    <row r="42" spans="2:32" hidden="1" x14ac:dyDescent="0.3"/>
    <row r="43" spans="2:32" hidden="1" x14ac:dyDescent="0.3">
      <c r="B43" s="133"/>
    </row>
    <row r="45" spans="2:32" ht="20.149999999999999" x14ac:dyDescent="0.3">
      <c r="B45" s="504" t="s">
        <v>144</v>
      </c>
      <c r="C45" s="505"/>
      <c r="D45" s="505"/>
      <c r="E45" s="505"/>
      <c r="F45" s="505"/>
      <c r="G45" s="505"/>
      <c r="H45" s="505"/>
      <c r="I45" s="505"/>
      <c r="J45" s="505"/>
      <c r="K45" s="505"/>
      <c r="L45" s="505"/>
      <c r="M45" s="505"/>
      <c r="N45" s="505"/>
      <c r="O45" s="505"/>
      <c r="P45" s="505"/>
      <c r="Q45" s="505"/>
      <c r="R45" s="505"/>
      <c r="S45" s="505"/>
      <c r="T45" s="505"/>
      <c r="U45" s="505"/>
      <c r="V45" s="505"/>
      <c r="W45" s="505"/>
      <c r="X45" s="505"/>
      <c r="Y45" s="505"/>
      <c r="Z45" s="505"/>
      <c r="AA45" s="505"/>
      <c r="AB45" s="505"/>
      <c r="AC45" s="505"/>
      <c r="AD45" s="505"/>
      <c r="AE45" s="505"/>
      <c r="AF45" s="505"/>
    </row>
    <row r="46" spans="2:32" ht="14.6" thickBot="1" x14ac:dyDescent="0.35">
      <c r="B46" s="134"/>
      <c r="C46" s="135"/>
      <c r="D46" s="136"/>
      <c r="E46" s="136"/>
      <c r="F46" s="136"/>
      <c r="G46" s="136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203" t="s">
        <v>138</v>
      </c>
    </row>
    <row r="47" spans="2:32" x14ac:dyDescent="0.3">
      <c r="B47" s="497" t="s">
        <v>1</v>
      </c>
      <c r="C47" s="506" t="s">
        <v>64</v>
      </c>
      <c r="D47" s="507" t="s">
        <v>68</v>
      </c>
      <c r="E47" s="66" t="s">
        <v>347</v>
      </c>
      <c r="F47" s="244" t="s">
        <v>348</v>
      </c>
      <c r="G47" s="373"/>
      <c r="H47" s="373"/>
      <c r="I47" s="373"/>
      <c r="J47" s="373"/>
      <c r="K47" s="373"/>
      <c r="L47" s="373"/>
      <c r="M47" s="373"/>
      <c r="N47" s="373"/>
      <c r="O47" s="373"/>
      <c r="P47" s="373"/>
      <c r="Q47" s="373"/>
      <c r="R47" s="373"/>
      <c r="S47" s="373"/>
      <c r="T47" s="373"/>
      <c r="U47" s="373"/>
      <c r="V47" s="373"/>
      <c r="W47" s="373"/>
      <c r="X47" s="373"/>
      <c r="Y47" s="412"/>
    </row>
    <row r="48" spans="2:32" x14ac:dyDescent="0.3">
      <c r="B48" s="498"/>
      <c r="C48" s="500"/>
      <c r="D48" s="508"/>
      <c r="E48" s="43">
        <v>1</v>
      </c>
      <c r="F48" s="43">
        <v>1</v>
      </c>
      <c r="G48" s="43">
        <f t="shared" ref="G48:Y48" si="10">F26</f>
        <v>2</v>
      </c>
      <c r="H48" s="43">
        <f t="shared" si="10"/>
        <v>3</v>
      </c>
      <c r="I48" s="43">
        <f t="shared" si="10"/>
        <v>4</v>
      </c>
      <c r="J48" s="43">
        <f t="shared" si="10"/>
        <v>5</v>
      </c>
      <c r="K48" s="43">
        <f t="shared" si="10"/>
        <v>6</v>
      </c>
      <c r="L48" s="43">
        <f t="shared" si="10"/>
        <v>7</v>
      </c>
      <c r="M48" s="43">
        <f t="shared" si="10"/>
        <v>8</v>
      </c>
      <c r="N48" s="43">
        <f t="shared" si="10"/>
        <v>9</v>
      </c>
      <c r="O48" s="43">
        <f t="shared" si="10"/>
        <v>10</v>
      </c>
      <c r="P48" s="43">
        <f t="shared" si="10"/>
        <v>11</v>
      </c>
      <c r="Q48" s="43">
        <f t="shared" si="10"/>
        <v>12</v>
      </c>
      <c r="R48" s="43">
        <f t="shared" si="10"/>
        <v>13</v>
      </c>
      <c r="S48" s="43">
        <f t="shared" si="10"/>
        <v>14</v>
      </c>
      <c r="T48" s="43">
        <f t="shared" si="10"/>
        <v>15</v>
      </c>
      <c r="U48" s="43">
        <f t="shared" si="10"/>
        <v>16</v>
      </c>
      <c r="V48" s="43">
        <f t="shared" si="10"/>
        <v>17</v>
      </c>
      <c r="W48" s="43">
        <f t="shared" si="10"/>
        <v>18</v>
      </c>
      <c r="X48" s="43">
        <f t="shared" si="10"/>
        <v>19</v>
      </c>
      <c r="Y48" s="405">
        <f t="shared" si="10"/>
        <v>20</v>
      </c>
    </row>
    <row r="49" spans="2:28" x14ac:dyDescent="0.3">
      <c r="B49" s="42">
        <v>1</v>
      </c>
      <c r="C49" s="199" t="s">
        <v>145</v>
      </c>
      <c r="D49" s="140"/>
      <c r="E49" s="140"/>
      <c r="F49" s="140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120"/>
    </row>
    <row r="50" spans="2:28" x14ac:dyDescent="0.3">
      <c r="B50" s="42"/>
      <c r="C50" s="142" t="s">
        <v>141</v>
      </c>
      <c r="D50" s="141">
        <f>D28</f>
        <v>3963.5818572581848</v>
      </c>
      <c r="E50" s="141"/>
      <c r="F50" s="143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120"/>
    </row>
    <row r="51" spans="2:28" x14ac:dyDescent="0.35">
      <c r="B51" s="42"/>
      <c r="C51" s="199" t="s">
        <v>146</v>
      </c>
      <c r="D51" s="140"/>
      <c r="E51" s="140"/>
      <c r="F51" s="92">
        <f>损益!G8*增值税率</f>
        <v>235.48430088495579</v>
      </c>
      <c r="G51" s="92">
        <f>IF(F52&lt;=损益!H8*增值税率,F52,损益!H8*增值税率)</f>
        <v>235.48430088495579</v>
      </c>
      <c r="H51" s="92">
        <f>IF(G52&lt;=损益!I8*增值税率,G52,损益!I8*增值税率)</f>
        <v>235.48430088495579</v>
      </c>
      <c r="I51" s="92">
        <f>IF(H52&lt;=损益!J8*增值税率,H52,损益!J8*增值税率)</f>
        <v>235.48430088495579</v>
      </c>
      <c r="J51" s="92">
        <f>IF(I52&lt;=损益!K8*增值税率,I52,损益!K8*增值税率)</f>
        <v>235.48430088495579</v>
      </c>
      <c r="K51" s="92">
        <f>IF(J52&lt;=损益!L8*增值税率,J52,损益!L8*增值税率)</f>
        <v>235.48430088495579</v>
      </c>
      <c r="L51" s="92">
        <f>IF(K52&lt;=损益!M8*增值税率,K52,损益!M8*增值税率)</f>
        <v>235.48430088495579</v>
      </c>
      <c r="M51" s="92">
        <f>IF(L52&lt;=损益!N8*增值税率,L52,损益!N8*增值税率)</f>
        <v>235.48430088495579</v>
      </c>
      <c r="N51" s="92">
        <f>IF(M52&lt;=损益!O8*增值税率,M52,损益!O8*增值税率)</f>
        <v>235.48430088495579</v>
      </c>
      <c r="O51" s="92">
        <f>IF(N52&lt;=损益!P8*增值税率,N52,损益!P8*增值税率)</f>
        <v>235.48430088495579</v>
      </c>
      <c r="P51" s="92">
        <f>IF(O52&lt;=损益!Q8*增值税率,O52,损益!Q8*增值税率)</f>
        <v>235.48430088495579</v>
      </c>
      <c r="Q51" s="92">
        <f>IF(P52&lt;=损益!R8*增值税率,P52,损益!R8*增值税率)</f>
        <v>235.48430088495579</v>
      </c>
      <c r="R51" s="92">
        <f>IF(Q52&lt;=损益!S8*增值税率,Q52,损益!S8*增值税率)</f>
        <v>235.48430088495579</v>
      </c>
      <c r="S51" s="92">
        <f>IF(R52&lt;=损益!T8*增值税率,R52,损益!T8*增值税率)</f>
        <v>235.48430088495579</v>
      </c>
      <c r="T51" s="92">
        <f>IF(S52&lt;=损益!U8*增值税率,S52,损益!U8*增值税率)</f>
        <v>235.48430088495579</v>
      </c>
      <c r="U51" s="92">
        <f>IF(T52&lt;=损益!V8*增值税率,T52,损益!V8*增值税率)</f>
        <v>235.48430088495579</v>
      </c>
      <c r="V51" s="92">
        <f>IF(U52&lt;=损益!W8*增值税率,U52,损益!W8*增值税率)</f>
        <v>195.83304309889311</v>
      </c>
      <c r="W51" s="92">
        <f>IF(V52&lt;=损益!X8*增值税率,V52,损益!X8*增值税率)</f>
        <v>0</v>
      </c>
      <c r="X51" s="92">
        <f>IF(W52&lt;=损益!Y8*增值税率,W52,损益!Y8*增值税率)</f>
        <v>0</v>
      </c>
      <c r="Y51" s="155">
        <f>IF(X52&lt;=损益!Z8*增值税率,X52,损益!Z8*增值税率)</f>
        <v>0</v>
      </c>
    </row>
    <row r="52" spans="2:28" x14ac:dyDescent="0.35">
      <c r="B52" s="42"/>
      <c r="C52" s="142" t="s">
        <v>143</v>
      </c>
      <c r="D52" s="140"/>
      <c r="E52" s="140"/>
      <c r="F52" s="92">
        <f>D50-F51</f>
        <v>3728.0975563732291</v>
      </c>
      <c r="G52" s="92">
        <f t="shared" ref="G52:L52" si="11">F52-G51</f>
        <v>3492.6132554882734</v>
      </c>
      <c r="H52" s="92">
        <f t="shared" si="11"/>
        <v>3257.1289546033177</v>
      </c>
      <c r="I52" s="92">
        <f t="shared" si="11"/>
        <v>3021.644653718362</v>
      </c>
      <c r="J52" s="92">
        <f t="shared" si="11"/>
        <v>2786.1603528334063</v>
      </c>
      <c r="K52" s="92">
        <f t="shared" si="11"/>
        <v>2550.6760519484505</v>
      </c>
      <c r="L52" s="153">
        <f t="shared" si="11"/>
        <v>2315.1917510634948</v>
      </c>
      <c r="M52" s="92">
        <f t="shared" ref="M52:Y52" si="12">L52-M51</f>
        <v>2079.7074501785391</v>
      </c>
      <c r="N52" s="153">
        <f t="shared" si="12"/>
        <v>1844.2231492935834</v>
      </c>
      <c r="O52" s="92">
        <f t="shared" si="12"/>
        <v>1608.7388484086277</v>
      </c>
      <c r="P52" s="153">
        <f t="shared" si="12"/>
        <v>1373.254547523672</v>
      </c>
      <c r="Q52" s="92">
        <f t="shared" si="12"/>
        <v>1137.7702466387163</v>
      </c>
      <c r="R52" s="153">
        <f t="shared" si="12"/>
        <v>902.28594575376053</v>
      </c>
      <c r="S52" s="92">
        <f t="shared" si="12"/>
        <v>666.80164486880471</v>
      </c>
      <c r="T52" s="153">
        <f t="shared" si="12"/>
        <v>431.3173439838489</v>
      </c>
      <c r="U52" s="92">
        <f t="shared" si="12"/>
        <v>195.83304309889311</v>
      </c>
      <c r="V52" s="153">
        <f t="shared" si="12"/>
        <v>0</v>
      </c>
      <c r="W52" s="92">
        <f t="shared" si="12"/>
        <v>0</v>
      </c>
      <c r="X52" s="153">
        <f t="shared" si="12"/>
        <v>0</v>
      </c>
      <c r="Y52" s="155">
        <f t="shared" si="12"/>
        <v>0</v>
      </c>
    </row>
    <row r="53" spans="2:28" x14ac:dyDescent="0.3">
      <c r="B53" s="42"/>
      <c r="C53" s="142"/>
      <c r="D53" s="140"/>
      <c r="E53" s="140"/>
      <c r="F53" s="140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120"/>
    </row>
    <row r="54" spans="2:28" x14ac:dyDescent="0.3">
      <c r="B54" s="42">
        <v>2</v>
      </c>
      <c r="C54" s="139" t="s">
        <v>317</v>
      </c>
      <c r="D54" s="143">
        <v>0</v>
      </c>
      <c r="E54" s="143"/>
      <c r="F54" s="140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120"/>
    </row>
    <row r="55" spans="2:28" x14ac:dyDescent="0.3">
      <c r="B55" s="138"/>
      <c r="C55" s="142" t="s">
        <v>141</v>
      </c>
      <c r="D55" s="143"/>
      <c r="E55" s="143">
        <f>参数表!C58</f>
        <v>0</v>
      </c>
      <c r="F55" s="143">
        <f>参数表!D58</f>
        <v>0</v>
      </c>
      <c r="G55" s="143">
        <f>参数表!E58</f>
        <v>0</v>
      </c>
      <c r="H55" s="143">
        <f>参数表!F58</f>
        <v>0</v>
      </c>
      <c r="I55" s="143">
        <f>参数表!G58</f>
        <v>0</v>
      </c>
      <c r="J55" s="143">
        <f>参数表!H58</f>
        <v>0</v>
      </c>
      <c r="K55" s="143">
        <f>参数表!I58</f>
        <v>0</v>
      </c>
      <c r="L55" s="143">
        <f>参数表!J58</f>
        <v>0</v>
      </c>
      <c r="M55" s="143">
        <f>参数表!K58</f>
        <v>0</v>
      </c>
      <c r="N55" s="143">
        <f>参数表!L58</f>
        <v>0</v>
      </c>
      <c r="O55" s="143">
        <f>参数表!M58</f>
        <v>0</v>
      </c>
      <c r="P55" s="143">
        <f>参数表!N58</f>
        <v>0</v>
      </c>
      <c r="Q55" s="143">
        <f>参数表!O58</f>
        <v>0</v>
      </c>
      <c r="R55" s="143">
        <f>参数表!P58</f>
        <v>0</v>
      </c>
      <c r="S55" s="143">
        <f>参数表!Q58</f>
        <v>0</v>
      </c>
      <c r="T55" s="143">
        <f>参数表!R58</f>
        <v>0</v>
      </c>
      <c r="U55" s="143">
        <f>参数表!S58</f>
        <v>0</v>
      </c>
      <c r="V55" s="143">
        <f>参数表!T58</f>
        <v>0</v>
      </c>
      <c r="W55" s="143">
        <f>参数表!U58</f>
        <v>0</v>
      </c>
      <c r="X55" s="143">
        <f>参数表!V58</f>
        <v>0</v>
      </c>
      <c r="Y55" s="415">
        <f>参数表!W58</f>
        <v>0</v>
      </c>
      <c r="Z55" s="403"/>
      <c r="AA55" s="61"/>
      <c r="AB55" s="61"/>
    </row>
    <row r="56" spans="2:28" x14ac:dyDescent="0.3">
      <c r="B56" s="138"/>
      <c r="C56" s="199" t="s">
        <v>146</v>
      </c>
      <c r="D56" s="140"/>
      <c r="E56" s="140"/>
      <c r="F56" s="140">
        <f>参数表!D59</f>
        <v>0</v>
      </c>
      <c r="G56" s="140">
        <f>参数表!E59</f>
        <v>0</v>
      </c>
      <c r="H56" s="140">
        <f>参数表!F59</f>
        <v>0</v>
      </c>
      <c r="I56" s="140">
        <f>参数表!G59</f>
        <v>0</v>
      </c>
      <c r="J56" s="140">
        <f>参数表!H59</f>
        <v>0</v>
      </c>
      <c r="K56" s="140">
        <f>参数表!I59</f>
        <v>0</v>
      </c>
      <c r="L56" s="140">
        <f>参数表!J59</f>
        <v>0</v>
      </c>
      <c r="M56" s="140">
        <f>参数表!K59</f>
        <v>0</v>
      </c>
      <c r="N56" s="140">
        <f>参数表!L59</f>
        <v>0</v>
      </c>
      <c r="O56" s="140">
        <f>参数表!M59</f>
        <v>0</v>
      </c>
      <c r="P56" s="140">
        <f>参数表!N59</f>
        <v>0</v>
      </c>
      <c r="Q56" s="140">
        <f>参数表!O59</f>
        <v>0</v>
      </c>
      <c r="R56" s="140">
        <f>参数表!P59</f>
        <v>0</v>
      </c>
      <c r="S56" s="140">
        <f>参数表!Q59</f>
        <v>0</v>
      </c>
      <c r="T56" s="140">
        <f>参数表!R59</f>
        <v>0</v>
      </c>
      <c r="U56" s="140">
        <f>参数表!S59</f>
        <v>0</v>
      </c>
      <c r="V56" s="140">
        <f>参数表!T59</f>
        <v>0</v>
      </c>
      <c r="W56" s="140">
        <f>参数表!U59</f>
        <v>0</v>
      </c>
      <c r="X56" s="140">
        <f>参数表!V59</f>
        <v>0</v>
      </c>
      <c r="Y56" s="416">
        <f>参数表!W59</f>
        <v>0</v>
      </c>
      <c r="Z56" s="413"/>
      <c r="AA56" s="140"/>
      <c r="AB56" s="140"/>
    </row>
    <row r="57" spans="2:28" x14ac:dyDescent="0.35">
      <c r="B57" s="138"/>
      <c r="C57" s="142" t="s">
        <v>143</v>
      </c>
      <c r="D57" s="140"/>
      <c r="E57" s="153">
        <f>-E56+E55</f>
        <v>0</v>
      </c>
      <c r="F57" s="153">
        <f t="shared" ref="F57:R57" si="13">E57-F56+F55</f>
        <v>0</v>
      </c>
      <c r="G57" s="153">
        <f t="shared" si="13"/>
        <v>0</v>
      </c>
      <c r="H57" s="153">
        <f t="shared" si="13"/>
        <v>0</v>
      </c>
      <c r="I57" s="153">
        <f t="shared" si="13"/>
        <v>0</v>
      </c>
      <c r="J57" s="153">
        <f t="shared" si="13"/>
        <v>0</v>
      </c>
      <c r="K57" s="153">
        <f t="shared" si="13"/>
        <v>0</v>
      </c>
      <c r="L57" s="153">
        <f t="shared" si="13"/>
        <v>0</v>
      </c>
      <c r="M57" s="153">
        <f t="shared" si="13"/>
        <v>0</v>
      </c>
      <c r="N57" s="153">
        <f t="shared" si="13"/>
        <v>0</v>
      </c>
      <c r="O57" s="153">
        <f t="shared" si="13"/>
        <v>0</v>
      </c>
      <c r="P57" s="153">
        <f t="shared" si="13"/>
        <v>0</v>
      </c>
      <c r="Q57" s="153">
        <f t="shared" si="13"/>
        <v>0</v>
      </c>
      <c r="R57" s="153">
        <f t="shared" si="13"/>
        <v>0</v>
      </c>
      <c r="S57" s="153">
        <f t="shared" ref="S57:Y57" si="14">R57-S56+S55</f>
        <v>0</v>
      </c>
      <c r="T57" s="153">
        <f t="shared" si="14"/>
        <v>0</v>
      </c>
      <c r="U57" s="153">
        <f t="shared" si="14"/>
        <v>0</v>
      </c>
      <c r="V57" s="153">
        <f t="shared" si="14"/>
        <v>0</v>
      </c>
      <c r="W57" s="153">
        <f t="shared" si="14"/>
        <v>0</v>
      </c>
      <c r="X57" s="153">
        <f t="shared" si="14"/>
        <v>0</v>
      </c>
      <c r="Y57" s="417">
        <f t="shared" si="14"/>
        <v>0</v>
      </c>
      <c r="Z57" s="414"/>
      <c r="AA57" s="153"/>
      <c r="AB57" s="153"/>
    </row>
    <row r="58" spans="2:28" ht="14.6" thickBot="1" x14ac:dyDescent="0.35">
      <c r="B58" s="144"/>
      <c r="C58" s="152"/>
      <c r="D58" s="146"/>
      <c r="E58" s="146"/>
      <c r="F58" s="146"/>
      <c r="G58" s="152"/>
      <c r="H58" s="152"/>
      <c r="I58" s="152"/>
      <c r="J58" s="152"/>
      <c r="K58" s="152"/>
      <c r="L58" s="152"/>
      <c r="M58" s="152"/>
      <c r="N58" s="152"/>
      <c r="O58" s="152"/>
      <c r="P58" s="152"/>
      <c r="Q58" s="152"/>
      <c r="R58" s="152"/>
      <c r="S58" s="152"/>
      <c r="T58" s="152"/>
      <c r="U58" s="152"/>
      <c r="V58" s="152"/>
      <c r="W58" s="152"/>
      <c r="X58" s="152"/>
      <c r="Y58" s="121"/>
    </row>
    <row r="59" spans="2:28" x14ac:dyDescent="0.3">
      <c r="H59" s="34"/>
    </row>
  </sheetData>
  <mergeCells count="11">
    <mergeCell ref="C47:C48"/>
    <mergeCell ref="D25:D26"/>
    <mergeCell ref="D47:D48"/>
    <mergeCell ref="B25:B26"/>
    <mergeCell ref="B47:B48"/>
    <mergeCell ref="B1:AF1"/>
    <mergeCell ref="C2:D2"/>
    <mergeCell ref="B3:B4"/>
    <mergeCell ref="C3:C4"/>
    <mergeCell ref="B45:AF45"/>
    <mergeCell ref="C25:C26"/>
  </mergeCells>
  <phoneticPr fontId="61" type="noConversion"/>
  <pageMargins left="0.16944444444444445" right="0.16944444444444445" top="0.80972222222222223" bottom="0.73958333333333337" header="0.5" footer="0.5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7C958-5588-4824-A11A-FC9E6821E337}">
  <dimension ref="B1:Z98"/>
  <sheetViews>
    <sheetView zoomScale="115" zoomScaleNormal="115" zoomScaleSheetLayoutView="100" workbookViewId="0">
      <pane xSplit="3" ySplit="4" topLeftCell="F5" activePane="bottomRight" state="frozen"/>
      <selection pane="topRight"/>
      <selection pane="bottomLeft"/>
      <selection pane="bottomRight" activeCell="D21" sqref="D21"/>
    </sheetView>
  </sheetViews>
  <sheetFormatPr defaultColWidth="9" defaultRowHeight="14.15" x14ac:dyDescent="0.3"/>
  <cols>
    <col min="1" max="1" width="3.0703125" style="34" customWidth="1"/>
    <col min="2" max="2" width="5.2109375" style="34" customWidth="1"/>
    <col min="3" max="3" width="18.0703125" style="67" customWidth="1"/>
    <col min="4" max="4" width="8.5" style="67" customWidth="1"/>
    <col min="5" max="5" width="8.0703125" style="34" customWidth="1"/>
    <col min="6" max="6" width="7.5703125" style="34" customWidth="1"/>
    <col min="7" max="8" width="8.0703125" style="34" customWidth="1"/>
    <col min="9" max="9" width="9.0703125" style="34" customWidth="1"/>
    <col min="10" max="11" width="8.0703125" style="34" customWidth="1"/>
    <col min="12" max="12" width="9.0703125" style="34" customWidth="1"/>
    <col min="13" max="16" width="8.0703125" style="34" customWidth="1"/>
    <col min="17" max="17" width="8.5" style="34" customWidth="1"/>
    <col min="18" max="25" width="8.0703125" style="34" customWidth="1"/>
    <col min="26" max="16384" width="9" style="34"/>
  </cols>
  <sheetData>
    <row r="1" spans="2:25" ht="30" customHeight="1" x14ac:dyDescent="0.3">
      <c r="B1" s="510" t="s">
        <v>147</v>
      </c>
      <c r="C1" s="510"/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</row>
    <row r="2" spans="2:25" ht="14.6" thickBot="1" x14ac:dyDescent="0.35"/>
    <row r="3" spans="2:25" ht="17.149999999999999" customHeight="1" x14ac:dyDescent="0.3">
      <c r="B3" s="497" t="s">
        <v>1</v>
      </c>
      <c r="C3" s="499" t="s">
        <v>64</v>
      </c>
      <c r="D3" s="243" t="s">
        <v>347</v>
      </c>
      <c r="E3" s="495" t="s">
        <v>91</v>
      </c>
      <c r="F3" s="517"/>
      <c r="G3" s="517"/>
      <c r="H3" s="517"/>
      <c r="I3" s="517"/>
      <c r="J3" s="517"/>
      <c r="K3" s="517"/>
      <c r="L3" s="517"/>
      <c r="M3" s="517"/>
      <c r="N3" s="517"/>
      <c r="O3" s="517"/>
      <c r="P3" s="517"/>
      <c r="Q3" s="517"/>
      <c r="R3" s="517"/>
      <c r="S3" s="517"/>
      <c r="T3" s="517"/>
      <c r="U3" s="517"/>
      <c r="V3" s="517"/>
      <c r="W3" s="517"/>
      <c r="X3" s="517"/>
      <c r="Y3" s="501" t="s">
        <v>68</v>
      </c>
    </row>
    <row r="4" spans="2:25" ht="17.149999999999999" customHeight="1" x14ac:dyDescent="0.3">
      <c r="B4" s="498"/>
      <c r="C4" s="500"/>
      <c r="D4" s="5">
        <f>成本!D4</f>
        <v>1</v>
      </c>
      <c r="E4" s="5">
        <v>1</v>
      </c>
      <c r="F4" s="5">
        <v>2</v>
      </c>
      <c r="G4" s="5">
        <v>3</v>
      </c>
      <c r="H4" s="5">
        <v>4</v>
      </c>
      <c r="I4" s="5">
        <v>5</v>
      </c>
      <c r="J4" s="5">
        <v>6</v>
      </c>
      <c r="K4" s="5">
        <v>7</v>
      </c>
      <c r="L4" s="5">
        <v>8</v>
      </c>
      <c r="M4" s="5">
        <v>9</v>
      </c>
      <c r="N4" s="5">
        <v>10</v>
      </c>
      <c r="O4" s="5">
        <v>11</v>
      </c>
      <c r="P4" s="5">
        <v>12</v>
      </c>
      <c r="Q4" s="5">
        <v>13</v>
      </c>
      <c r="R4" s="5">
        <v>14</v>
      </c>
      <c r="S4" s="5">
        <v>15</v>
      </c>
      <c r="T4" s="5">
        <v>16</v>
      </c>
      <c r="U4" s="5">
        <v>17</v>
      </c>
      <c r="V4" s="5">
        <v>18</v>
      </c>
      <c r="W4" s="5">
        <v>19</v>
      </c>
      <c r="X4" s="5">
        <v>20</v>
      </c>
      <c r="Y4" s="502"/>
    </row>
    <row r="5" spans="2:25" ht="17.149999999999999" customHeight="1" x14ac:dyDescent="0.35">
      <c r="B5" s="42">
        <v>1</v>
      </c>
      <c r="C5" s="68" t="s">
        <v>148</v>
      </c>
      <c r="D5" s="68"/>
      <c r="E5" s="49">
        <f>SUM(E6:E10)</f>
        <v>1998.2820000000002</v>
      </c>
      <c r="F5" s="49">
        <f t="shared" ref="F5:X5" si="0">SUM(F6:F10)</f>
        <v>2095.5219999999999</v>
      </c>
      <c r="G5" s="49">
        <f t="shared" si="0"/>
        <v>2046.902</v>
      </c>
      <c r="H5" s="49">
        <f t="shared" si="0"/>
        <v>2046.902</v>
      </c>
      <c r="I5" s="49">
        <f t="shared" si="0"/>
        <v>2046.902</v>
      </c>
      <c r="J5" s="49">
        <f t="shared" si="0"/>
        <v>2046.902</v>
      </c>
      <c r="K5" s="49">
        <f t="shared" si="0"/>
        <v>2046.902</v>
      </c>
      <c r="L5" s="49">
        <f t="shared" si="0"/>
        <v>2046.902</v>
      </c>
      <c r="M5" s="49">
        <f t="shared" si="0"/>
        <v>2046.902</v>
      </c>
      <c r="N5" s="49">
        <f t="shared" si="0"/>
        <v>2046.902</v>
      </c>
      <c r="O5" s="49">
        <f t="shared" si="0"/>
        <v>2046.902</v>
      </c>
      <c r="P5" s="49">
        <f t="shared" si="0"/>
        <v>2046.902</v>
      </c>
      <c r="Q5" s="49">
        <f t="shared" si="0"/>
        <v>2046.902</v>
      </c>
      <c r="R5" s="49">
        <f t="shared" si="0"/>
        <v>2046.902</v>
      </c>
      <c r="S5" s="49">
        <f t="shared" si="0"/>
        <v>2046.902</v>
      </c>
      <c r="T5" s="49">
        <f t="shared" si="0"/>
        <v>2046.902</v>
      </c>
      <c r="U5" s="49">
        <f t="shared" si="0"/>
        <v>2066.7276288930316</v>
      </c>
      <c r="V5" s="49">
        <f t="shared" si="0"/>
        <v>2164.6441504424779</v>
      </c>
      <c r="W5" s="49">
        <f t="shared" si="0"/>
        <v>2164.6441504424779</v>
      </c>
      <c r="X5" s="49">
        <f t="shared" si="0"/>
        <v>4182.9712406653025</v>
      </c>
      <c r="Y5" s="106">
        <f t="shared" ref="Y5:Y13" si="1">SUM(E5:X5)</f>
        <v>43329.419170443311</v>
      </c>
    </row>
    <row r="6" spans="2:25" ht="17.149999999999999" customHeight="1" x14ac:dyDescent="0.35">
      <c r="B6" s="201" t="s">
        <v>149</v>
      </c>
      <c r="C6" s="68" t="s">
        <v>96</v>
      </c>
      <c r="D6" s="68"/>
      <c r="E6" s="49">
        <f>损益!G8-财务计划!E10</f>
        <v>1762.7976991150445</v>
      </c>
      <c r="F6" s="49">
        <f>损益!H8-财务计划!F10</f>
        <v>1860.0376991150442</v>
      </c>
      <c r="G6" s="49">
        <f>损益!I8-财务计划!G10</f>
        <v>1811.4176991150443</v>
      </c>
      <c r="H6" s="49">
        <f>损益!J8-财务计划!H10</f>
        <v>1811.4176991150443</v>
      </c>
      <c r="I6" s="49">
        <f>损益!K8-财务计划!I10</f>
        <v>1811.4176991150443</v>
      </c>
      <c r="J6" s="49">
        <f>损益!L8-财务计划!J10</f>
        <v>1811.4176991150443</v>
      </c>
      <c r="K6" s="49">
        <f>损益!M8-财务计划!K10</f>
        <v>1811.4176991150443</v>
      </c>
      <c r="L6" s="49">
        <f>损益!N8-财务计划!L10</f>
        <v>1811.4176991150443</v>
      </c>
      <c r="M6" s="49">
        <f>损益!O8-财务计划!M10</f>
        <v>1811.4176991150443</v>
      </c>
      <c r="N6" s="49">
        <f>损益!P8-财务计划!N10</f>
        <v>1811.4176991150443</v>
      </c>
      <c r="O6" s="49">
        <f>损益!Q8-财务计划!O10</f>
        <v>1811.4176991150443</v>
      </c>
      <c r="P6" s="49">
        <f>损益!R8-财务计划!P10</f>
        <v>1811.4176991150443</v>
      </c>
      <c r="Q6" s="49">
        <f>损益!S8-财务计划!Q10</f>
        <v>1811.4176991150443</v>
      </c>
      <c r="R6" s="49">
        <f>损益!T8-财务计划!R10</f>
        <v>1811.4176991150443</v>
      </c>
      <c r="S6" s="49">
        <f>损益!U8-财务计划!S10</f>
        <v>1811.4176991150443</v>
      </c>
      <c r="T6" s="49">
        <f>损益!V8-财务计划!T10</f>
        <v>1811.4176991150443</v>
      </c>
      <c r="U6" s="49">
        <f>损益!W8-财务计划!U10</f>
        <v>1811.4176991150443</v>
      </c>
      <c r="V6" s="49">
        <f>损益!X8-财务计划!V10</f>
        <v>1811.4176991150443</v>
      </c>
      <c r="W6" s="49">
        <f>损益!Y8-财务计划!W10</f>
        <v>1811.4176991150443</v>
      </c>
      <c r="X6" s="49">
        <f>损益!Z8-财务计划!X10</f>
        <v>1811.4176991150443</v>
      </c>
      <c r="Y6" s="106">
        <f t="shared" si="1"/>
        <v>36228.353982300898</v>
      </c>
    </row>
    <row r="7" spans="2:25" ht="17.149999999999999" customHeight="1" x14ac:dyDescent="0.35">
      <c r="B7" s="42"/>
      <c r="C7" s="68" t="s">
        <v>358</v>
      </c>
      <c r="D7" s="68"/>
      <c r="E7" s="49">
        <f>损益!G12</f>
        <v>0</v>
      </c>
      <c r="F7" s="49">
        <f>损益!H12</f>
        <v>0</v>
      </c>
      <c r="G7" s="49">
        <f>损益!I12</f>
        <v>0</v>
      </c>
      <c r="H7" s="49">
        <f>损益!J12</f>
        <v>0</v>
      </c>
      <c r="I7" s="49">
        <f>损益!K12</f>
        <v>0</v>
      </c>
      <c r="J7" s="49">
        <f>损益!L12</f>
        <v>0</v>
      </c>
      <c r="K7" s="49">
        <f>损益!M12</f>
        <v>0</v>
      </c>
      <c r="L7" s="49">
        <f>损益!N12</f>
        <v>0</v>
      </c>
      <c r="M7" s="49">
        <f>损益!O12</f>
        <v>0</v>
      </c>
      <c r="N7" s="49">
        <f>损益!P12</f>
        <v>0</v>
      </c>
      <c r="O7" s="49">
        <f>损益!Q12</f>
        <v>0</v>
      </c>
      <c r="P7" s="49">
        <f>损益!R12</f>
        <v>0</v>
      </c>
      <c r="Q7" s="49">
        <f>损益!S12</f>
        <v>0</v>
      </c>
      <c r="R7" s="49">
        <f>损益!T12</f>
        <v>0</v>
      </c>
      <c r="S7" s="49">
        <f>损益!U12</f>
        <v>0</v>
      </c>
      <c r="T7" s="49">
        <f>损益!V12</f>
        <v>0</v>
      </c>
      <c r="U7" s="49">
        <f>损益!W12</f>
        <v>19.825628893031336</v>
      </c>
      <c r="V7" s="49">
        <f>损益!X12</f>
        <v>117.74215044247789</v>
      </c>
      <c r="W7" s="49">
        <f>损益!Y12</f>
        <v>117.74215044247789</v>
      </c>
      <c r="X7" s="49">
        <f>损益!Z12</f>
        <v>117.74215044247789</v>
      </c>
      <c r="Y7" s="106">
        <f t="shared" si="1"/>
        <v>373.05208022046503</v>
      </c>
    </row>
    <row r="8" spans="2:25" ht="17.149999999999999" customHeight="1" x14ac:dyDescent="0.35">
      <c r="B8" s="42"/>
      <c r="C8" s="68" t="s">
        <v>150</v>
      </c>
      <c r="D8" s="68"/>
      <c r="E8" s="49">
        <f>损益!G37</f>
        <v>235.48430088495579</v>
      </c>
      <c r="F8" s="49">
        <f>损益!H37</f>
        <v>235.48430088495579</v>
      </c>
      <c r="G8" s="49">
        <f>损益!I37</f>
        <v>235.48430088495579</v>
      </c>
      <c r="H8" s="49">
        <f>损益!J37</f>
        <v>235.48430088495579</v>
      </c>
      <c r="I8" s="49">
        <f>损益!K37</f>
        <v>235.48430088495579</v>
      </c>
      <c r="J8" s="49">
        <f>损益!L37</f>
        <v>235.48430088495579</v>
      </c>
      <c r="K8" s="49">
        <f>损益!M37</f>
        <v>235.48430088495579</v>
      </c>
      <c r="L8" s="49">
        <f>损益!N37</f>
        <v>235.48430088495579</v>
      </c>
      <c r="M8" s="49">
        <f>损益!O37</f>
        <v>235.48430088495579</v>
      </c>
      <c r="N8" s="49">
        <f>损益!P37</f>
        <v>235.48430088495579</v>
      </c>
      <c r="O8" s="49">
        <f>损益!Q37</f>
        <v>235.48430088495579</v>
      </c>
      <c r="P8" s="49">
        <f>损益!R37</f>
        <v>235.48430088495579</v>
      </c>
      <c r="Q8" s="49">
        <f>损益!S37</f>
        <v>235.48430088495579</v>
      </c>
      <c r="R8" s="49">
        <f>损益!T37</f>
        <v>235.48430088495579</v>
      </c>
      <c r="S8" s="49">
        <f>损益!U37</f>
        <v>235.48430088495579</v>
      </c>
      <c r="T8" s="49">
        <f>损益!V37</f>
        <v>235.48430088495579</v>
      </c>
      <c r="U8" s="49">
        <f>损益!W37</f>
        <v>235.48430088495579</v>
      </c>
      <c r="V8" s="49">
        <f>损益!X37</f>
        <v>235.48430088495579</v>
      </c>
      <c r="W8" s="49">
        <f>损益!Y37</f>
        <v>235.48430088495579</v>
      </c>
      <c r="X8" s="49">
        <f>损益!Z37</f>
        <v>235.48430088495579</v>
      </c>
      <c r="Y8" s="106">
        <f t="shared" si="1"/>
        <v>4709.6860176991149</v>
      </c>
    </row>
    <row r="9" spans="2:25" ht="17.149999999999999" customHeight="1" x14ac:dyDescent="0.35">
      <c r="B9" s="201" t="s">
        <v>151</v>
      </c>
      <c r="C9" s="68" t="s">
        <v>152</v>
      </c>
      <c r="D9" s="68"/>
      <c r="E9" s="49">
        <v>0</v>
      </c>
      <c r="F9" s="49">
        <v>0</v>
      </c>
      <c r="G9" s="49">
        <v>0</v>
      </c>
      <c r="H9" s="49">
        <v>0</v>
      </c>
      <c r="I9" s="49">
        <v>0</v>
      </c>
      <c r="J9" s="49">
        <v>0</v>
      </c>
      <c r="K9" s="49">
        <v>0</v>
      </c>
      <c r="L9" s="49">
        <v>0</v>
      </c>
      <c r="M9" s="49">
        <v>0</v>
      </c>
      <c r="N9" s="49">
        <v>0</v>
      </c>
      <c r="O9" s="49">
        <v>0</v>
      </c>
      <c r="P9" s="49">
        <v>0</v>
      </c>
      <c r="Q9" s="49">
        <v>0</v>
      </c>
      <c r="R9" s="49">
        <v>0</v>
      </c>
      <c r="S9" s="49">
        <v>0</v>
      </c>
      <c r="T9" s="49">
        <v>0</v>
      </c>
      <c r="U9" s="49">
        <v>0</v>
      </c>
      <c r="V9" s="49">
        <v>0</v>
      </c>
      <c r="W9" s="49">
        <v>0</v>
      </c>
      <c r="X9" s="49">
        <f>成本!X31</f>
        <v>1958.3270902228246</v>
      </c>
      <c r="Y9" s="106">
        <f t="shared" si="1"/>
        <v>1958.3270902228246</v>
      </c>
    </row>
    <row r="10" spans="2:25" ht="17.149999999999999" customHeight="1" x14ac:dyDescent="0.35">
      <c r="B10" s="201" t="s">
        <v>153</v>
      </c>
      <c r="C10" s="68" t="s">
        <v>154</v>
      </c>
      <c r="D10" s="68"/>
      <c r="E10" s="49">
        <v>0</v>
      </c>
      <c r="F10" s="49">
        <v>0</v>
      </c>
      <c r="G10" s="49">
        <v>0</v>
      </c>
      <c r="H10" s="49">
        <v>0</v>
      </c>
      <c r="I10" s="49">
        <v>0</v>
      </c>
      <c r="J10" s="49">
        <v>0</v>
      </c>
      <c r="K10" s="49">
        <v>0</v>
      </c>
      <c r="L10" s="49">
        <v>0</v>
      </c>
      <c r="M10" s="49">
        <v>0</v>
      </c>
      <c r="N10" s="49">
        <v>0</v>
      </c>
      <c r="O10" s="49">
        <v>0</v>
      </c>
      <c r="P10" s="49">
        <v>0</v>
      </c>
      <c r="Q10" s="49">
        <v>0</v>
      </c>
      <c r="R10" s="49">
        <v>0</v>
      </c>
      <c r="S10" s="49">
        <v>0</v>
      </c>
      <c r="T10" s="49">
        <v>0</v>
      </c>
      <c r="U10" s="49">
        <v>0</v>
      </c>
      <c r="V10" s="49">
        <v>0</v>
      </c>
      <c r="W10" s="49">
        <v>0</v>
      </c>
      <c r="X10" s="49">
        <f>流动资金总额</f>
        <v>60</v>
      </c>
      <c r="Y10" s="106">
        <f t="shared" si="1"/>
        <v>60</v>
      </c>
    </row>
    <row r="11" spans="2:25" ht="17.149999999999999" customHeight="1" x14ac:dyDescent="0.35">
      <c r="B11" s="42"/>
      <c r="C11" s="69"/>
      <c r="D11" s="6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106">
        <f t="shared" si="1"/>
        <v>0</v>
      </c>
    </row>
    <row r="12" spans="2:25" ht="17.149999999999999" customHeight="1" x14ac:dyDescent="0.35">
      <c r="B12" s="42">
        <v>2</v>
      </c>
      <c r="C12" s="68" t="s">
        <v>155</v>
      </c>
      <c r="D12" s="49">
        <f t="shared" ref="D12:X12" si="2">SUM(D13:D19)</f>
        <v>42500</v>
      </c>
      <c r="E12" s="49">
        <f t="shared" si="2"/>
        <v>394.04806900101522</v>
      </c>
      <c r="F12" s="49">
        <f t="shared" si="2"/>
        <v>387.84669988197629</v>
      </c>
      <c r="G12" s="49">
        <f t="shared" si="2"/>
        <v>381.64533076293731</v>
      </c>
      <c r="H12" s="49">
        <f t="shared" si="2"/>
        <v>244.87222287584447</v>
      </c>
      <c r="I12" s="49">
        <f t="shared" si="2"/>
        <v>239.44602489668546</v>
      </c>
      <c r="J12" s="49">
        <f t="shared" si="2"/>
        <v>508.18561954872177</v>
      </c>
      <c r="K12" s="49">
        <f t="shared" si="2"/>
        <v>335.3466544166921</v>
      </c>
      <c r="L12" s="49">
        <f t="shared" si="2"/>
        <v>330.69562757741278</v>
      </c>
      <c r="M12" s="49">
        <f t="shared" si="2"/>
        <v>326.04460073813345</v>
      </c>
      <c r="N12" s="49">
        <f t="shared" si="2"/>
        <v>321.39357389885447</v>
      </c>
      <c r="O12" s="49">
        <f t="shared" si="2"/>
        <v>463.61707882628696</v>
      </c>
      <c r="P12" s="49">
        <f t="shared" si="2"/>
        <v>458.96605198700763</v>
      </c>
      <c r="Q12" s="49">
        <f t="shared" si="2"/>
        <v>454.31502514772842</v>
      </c>
      <c r="R12" s="49">
        <f t="shared" si="2"/>
        <v>449.66399830844915</v>
      </c>
      <c r="S12" s="49">
        <f t="shared" si="2"/>
        <v>445.01297146916994</v>
      </c>
      <c r="T12" s="49">
        <f t="shared" si="2"/>
        <v>1212.024415139776</v>
      </c>
      <c r="U12" s="49">
        <f t="shared" si="2"/>
        <v>1259.6059244830515</v>
      </c>
      <c r="V12" s="49">
        <f t="shared" si="2"/>
        <v>1494.6055762017231</v>
      </c>
      <c r="W12" s="49">
        <f t="shared" si="2"/>
        <v>1494.6055762017231</v>
      </c>
      <c r="X12" s="49">
        <f t="shared" si="2"/>
        <v>1494.6055762017231</v>
      </c>
      <c r="Y12" s="106">
        <f t="shared" si="1"/>
        <v>12696.546617564916</v>
      </c>
    </row>
    <row r="13" spans="2:25" ht="17.149999999999999" customHeight="1" x14ac:dyDescent="0.35">
      <c r="B13" s="201" t="s">
        <v>98</v>
      </c>
      <c r="C13" s="68" t="s">
        <v>156</v>
      </c>
      <c r="D13" s="418">
        <f>投资计划!F6</f>
        <v>42440</v>
      </c>
      <c r="E13" s="418">
        <f>投资计划!G6</f>
        <v>0</v>
      </c>
      <c r="F13" s="49">
        <v>0</v>
      </c>
      <c r="G13" s="49">
        <v>0</v>
      </c>
      <c r="H13" s="49">
        <v>0</v>
      </c>
      <c r="I13" s="49">
        <v>0</v>
      </c>
      <c r="J13" s="49">
        <v>0</v>
      </c>
      <c r="K13" s="49">
        <v>0</v>
      </c>
      <c r="L13" s="49">
        <v>0</v>
      </c>
      <c r="M13" s="49">
        <v>0</v>
      </c>
      <c r="N13" s="49">
        <v>0</v>
      </c>
      <c r="O13" s="49">
        <v>0</v>
      </c>
      <c r="P13" s="49">
        <v>0</v>
      </c>
      <c r="Q13" s="49">
        <v>0</v>
      </c>
      <c r="R13" s="49">
        <v>0</v>
      </c>
      <c r="S13" s="49">
        <v>0</v>
      </c>
      <c r="T13" s="49">
        <v>0</v>
      </c>
      <c r="U13" s="49">
        <v>0</v>
      </c>
      <c r="V13" s="49">
        <v>0</v>
      </c>
      <c r="W13" s="49">
        <v>0</v>
      </c>
      <c r="X13" s="49">
        <v>0</v>
      </c>
      <c r="Y13" s="106">
        <f t="shared" si="1"/>
        <v>0</v>
      </c>
    </row>
    <row r="14" spans="2:25" ht="17.149999999999999" customHeight="1" x14ac:dyDescent="0.35">
      <c r="B14" s="201" t="s">
        <v>99</v>
      </c>
      <c r="C14" s="68" t="s">
        <v>38</v>
      </c>
      <c r="D14" s="49">
        <f>投资计划!H8</f>
        <v>60</v>
      </c>
      <c r="E14" s="49">
        <f>投资计划!I8</f>
        <v>0</v>
      </c>
      <c r="F14" s="49">
        <f>投资计划!J8</f>
        <v>0</v>
      </c>
      <c r="G14" s="49">
        <f>投资计划!I8</f>
        <v>0</v>
      </c>
      <c r="H14" s="49">
        <f>投资计划!J8</f>
        <v>0</v>
      </c>
      <c r="I14" s="49">
        <f>投资计划!K8</f>
        <v>0</v>
      </c>
      <c r="J14" s="49">
        <f>投资计划!L8</f>
        <v>0</v>
      </c>
      <c r="K14" s="49">
        <f>投资计划!M8</f>
        <v>0</v>
      </c>
      <c r="L14" s="49">
        <f>投资计划!N8</f>
        <v>0</v>
      </c>
      <c r="M14" s="49">
        <f>投资计划!O8</f>
        <v>0</v>
      </c>
      <c r="N14" s="49">
        <f>投资计划!P8</f>
        <v>0</v>
      </c>
      <c r="O14" s="49">
        <f>投资计划!Q8</f>
        <v>0</v>
      </c>
      <c r="P14" s="49">
        <f>投资计划!R8</f>
        <v>0</v>
      </c>
      <c r="Q14" s="49">
        <f>投资计划!S8</f>
        <v>0</v>
      </c>
      <c r="R14" s="49">
        <f>投资计划!T8</f>
        <v>0</v>
      </c>
      <c r="S14" s="49">
        <f>投资计划!U8</f>
        <v>0</v>
      </c>
      <c r="T14" s="49">
        <f>投资计划!V8</f>
        <v>0</v>
      </c>
      <c r="U14" s="49">
        <f>投资计划!W8</f>
        <v>0</v>
      </c>
      <c r="V14" s="49">
        <f>投资计划!X8</f>
        <v>0</v>
      </c>
      <c r="W14" s="49">
        <f>投资计划!Y8</f>
        <v>0</v>
      </c>
      <c r="X14" s="49">
        <f>投资计划!Z8</f>
        <v>0</v>
      </c>
      <c r="Y14" s="106">
        <f>SUM(D14:X14)</f>
        <v>60</v>
      </c>
    </row>
    <row r="15" spans="2:25" ht="17.149999999999999" customHeight="1" x14ac:dyDescent="0.35">
      <c r="B15" s="42"/>
      <c r="C15" s="68" t="s">
        <v>157</v>
      </c>
      <c r="D15" s="68"/>
      <c r="E15" s="49">
        <f>损益!G40</f>
        <v>0</v>
      </c>
      <c r="F15" s="49">
        <f>损益!H40</f>
        <v>0</v>
      </c>
      <c r="G15" s="49">
        <f>损益!I40</f>
        <v>0</v>
      </c>
      <c r="H15" s="49">
        <f>损益!J40</f>
        <v>0</v>
      </c>
      <c r="I15" s="49">
        <f>损益!K40</f>
        <v>0</v>
      </c>
      <c r="J15" s="49">
        <f>损益!L40</f>
        <v>0</v>
      </c>
      <c r="K15" s="49">
        <f>损益!M40</f>
        <v>0</v>
      </c>
      <c r="L15" s="49">
        <f>损益!N40</f>
        <v>0</v>
      </c>
      <c r="M15" s="49">
        <f>损益!O40</f>
        <v>0</v>
      </c>
      <c r="N15" s="49">
        <f>损益!P40</f>
        <v>0</v>
      </c>
      <c r="O15" s="49">
        <f>损益!Q40</f>
        <v>0</v>
      </c>
      <c r="P15" s="49">
        <f>损益!R40</f>
        <v>0</v>
      </c>
      <c r="Q15" s="49">
        <f>损益!S40</f>
        <v>0</v>
      </c>
      <c r="R15" s="49">
        <f>损益!T40</f>
        <v>0</v>
      </c>
      <c r="S15" s="49">
        <f>损益!U40</f>
        <v>0</v>
      </c>
      <c r="T15" s="49">
        <f>损益!V40</f>
        <v>0</v>
      </c>
      <c r="U15" s="49">
        <f>损益!W40</f>
        <v>39.651257786062672</v>
      </c>
      <c r="V15" s="49">
        <f>损益!X40</f>
        <v>235.48430088495579</v>
      </c>
      <c r="W15" s="49">
        <f>损益!Y40</f>
        <v>235.48430088495579</v>
      </c>
      <c r="X15" s="49">
        <f>损益!Z40</f>
        <v>235.48430088495579</v>
      </c>
      <c r="Y15" s="106">
        <f>SUM(E15:X15)</f>
        <v>746.10416044093006</v>
      </c>
    </row>
    <row r="16" spans="2:25" ht="17.149999999999999" customHeight="1" x14ac:dyDescent="0.35">
      <c r="B16" s="42"/>
      <c r="C16" s="68" t="s">
        <v>323</v>
      </c>
      <c r="D16" s="49">
        <f>财务计划!D14</f>
        <v>0</v>
      </c>
      <c r="E16" s="68">
        <f>财务计划!E14</f>
        <v>0</v>
      </c>
      <c r="F16" s="68">
        <f>财务计划!F14</f>
        <v>0</v>
      </c>
      <c r="G16" s="68">
        <f>财务计划!G14</f>
        <v>0</v>
      </c>
      <c r="H16" s="68">
        <f>财务计划!H14</f>
        <v>0</v>
      </c>
      <c r="I16" s="68">
        <f>财务计划!I14</f>
        <v>0</v>
      </c>
      <c r="J16" s="68">
        <f>财务计划!J14</f>
        <v>0</v>
      </c>
      <c r="K16" s="68">
        <f>财务计划!K14</f>
        <v>0</v>
      </c>
      <c r="L16" s="68">
        <f>财务计划!L14</f>
        <v>0</v>
      </c>
      <c r="M16" s="68">
        <f>财务计划!M14</f>
        <v>0</v>
      </c>
      <c r="N16" s="68">
        <f>财务计划!N14</f>
        <v>0</v>
      </c>
      <c r="O16" s="68">
        <f>财务计划!O14</f>
        <v>0</v>
      </c>
      <c r="P16" s="68">
        <f>财务计划!P14</f>
        <v>0</v>
      </c>
      <c r="Q16" s="68">
        <f>财务计划!Q14</f>
        <v>0</v>
      </c>
      <c r="R16" s="68">
        <f>财务计划!R14</f>
        <v>0</v>
      </c>
      <c r="S16" s="68">
        <f>财务计划!S14</f>
        <v>0</v>
      </c>
      <c r="T16" s="68">
        <f>财务计划!T14</f>
        <v>0</v>
      </c>
      <c r="U16" s="68">
        <f>财务计划!U14</f>
        <v>0</v>
      </c>
      <c r="V16" s="68">
        <f>财务计划!V14</f>
        <v>0</v>
      </c>
      <c r="W16" s="68">
        <f>财务计划!W14</f>
        <v>0</v>
      </c>
      <c r="X16" s="68">
        <f>财务计划!X14</f>
        <v>0</v>
      </c>
      <c r="Y16" s="106"/>
    </row>
    <row r="17" spans="2:25" ht="17.149999999999999" customHeight="1" x14ac:dyDescent="0.35">
      <c r="B17" s="201" t="s">
        <v>158</v>
      </c>
      <c r="C17" s="68" t="s">
        <v>63</v>
      </c>
      <c r="D17" s="68"/>
      <c r="E17" s="49">
        <f>成本!E22</f>
        <v>394.04806900101522</v>
      </c>
      <c r="F17" s="49">
        <f>成本!F22</f>
        <v>387.84669988197629</v>
      </c>
      <c r="G17" s="49">
        <f>成本!G22</f>
        <v>381.64533076293731</v>
      </c>
      <c r="H17" s="49">
        <f>成本!H22</f>
        <v>375.44396164389838</v>
      </c>
      <c r="I17" s="49">
        <f>成本!I22</f>
        <v>369.24259252485945</v>
      </c>
      <c r="J17" s="49">
        <f>成本!J22</f>
        <v>676.37355784147235</v>
      </c>
      <c r="K17" s="49">
        <f>成本!K22</f>
        <v>670.17218872243348</v>
      </c>
      <c r="L17" s="49">
        <f>成本!L22</f>
        <v>663.97081960339449</v>
      </c>
      <c r="M17" s="49">
        <f>成本!M22</f>
        <v>657.7694504843555</v>
      </c>
      <c r="N17" s="49">
        <f>成本!N22</f>
        <v>651.56808136531663</v>
      </c>
      <c r="O17" s="49">
        <f>成本!O22</f>
        <v>841.19942126855995</v>
      </c>
      <c r="P17" s="49">
        <f>成本!P22</f>
        <v>834.99805214952107</v>
      </c>
      <c r="Q17" s="49">
        <f>成本!Q22</f>
        <v>828.79668303048209</v>
      </c>
      <c r="R17" s="49">
        <f>成本!R22</f>
        <v>822.5953139114431</v>
      </c>
      <c r="S17" s="49">
        <f>成本!S22</f>
        <v>816.39394479240423</v>
      </c>
      <c r="T17" s="49">
        <f>成本!T22</f>
        <v>1012.2266538146868</v>
      </c>
      <c r="U17" s="49">
        <f>成本!U22</f>
        <v>1012.2266538146868</v>
      </c>
      <c r="V17" s="49">
        <f>成本!V22</f>
        <v>1012.2266538146868</v>
      </c>
      <c r="W17" s="49">
        <f>成本!W22</f>
        <v>1012.2266538146868</v>
      </c>
      <c r="X17" s="49">
        <f>成本!X22</f>
        <v>1012.2266538146868</v>
      </c>
      <c r="Y17" s="106">
        <f t="shared" ref="Y17:Y22" si="3">SUM(E17:X17)</f>
        <v>14433.197436057504</v>
      </c>
    </row>
    <row r="18" spans="2:25" ht="17.149999999999999" customHeight="1" x14ac:dyDescent="0.35">
      <c r="B18" s="201" t="s">
        <v>159</v>
      </c>
      <c r="C18" s="68" t="s">
        <v>97</v>
      </c>
      <c r="D18" s="68"/>
      <c r="E18" s="49">
        <f>损益!G9</f>
        <v>0</v>
      </c>
      <c r="F18" s="49">
        <f>损益!H9</f>
        <v>0</v>
      </c>
      <c r="G18" s="49">
        <f>损益!I9</f>
        <v>0</v>
      </c>
      <c r="H18" s="49">
        <f>损益!J9</f>
        <v>0</v>
      </c>
      <c r="I18" s="49">
        <f>损益!K9</f>
        <v>0</v>
      </c>
      <c r="J18" s="49">
        <f>损益!L9</f>
        <v>0</v>
      </c>
      <c r="K18" s="49">
        <f>损益!M9</f>
        <v>0</v>
      </c>
      <c r="L18" s="49">
        <f>损益!N9</f>
        <v>0</v>
      </c>
      <c r="M18" s="49">
        <f>损益!O9</f>
        <v>0</v>
      </c>
      <c r="N18" s="49">
        <f>损益!P9</f>
        <v>0</v>
      </c>
      <c r="O18" s="49">
        <f>损益!Q9</f>
        <v>0</v>
      </c>
      <c r="P18" s="49">
        <f>损益!R9</f>
        <v>0</v>
      </c>
      <c r="Q18" s="49">
        <f>损益!S9</f>
        <v>0</v>
      </c>
      <c r="R18" s="49">
        <f>损益!T9</f>
        <v>0</v>
      </c>
      <c r="S18" s="49">
        <f>损益!U9</f>
        <v>0</v>
      </c>
      <c r="T18" s="49">
        <f>损益!V9</f>
        <v>0</v>
      </c>
      <c r="U18" s="49">
        <f>损益!W9</f>
        <v>3.9651257786062675</v>
      </c>
      <c r="V18" s="49">
        <f>损益!X9</f>
        <v>23.548430088495579</v>
      </c>
      <c r="W18" s="49">
        <f>损益!Y9</f>
        <v>23.548430088495579</v>
      </c>
      <c r="X18" s="49">
        <f>损益!Z9</f>
        <v>23.548430088495579</v>
      </c>
      <c r="Y18" s="106">
        <f t="shared" si="3"/>
        <v>74.610416044093</v>
      </c>
    </row>
    <row r="19" spans="2:25" ht="17.149999999999999" customHeight="1" x14ac:dyDescent="0.35">
      <c r="B19" s="201" t="s">
        <v>160</v>
      </c>
      <c r="C19" s="68" t="s">
        <v>161</v>
      </c>
      <c r="D19" s="68"/>
      <c r="E19" s="49">
        <v>0</v>
      </c>
      <c r="F19" s="49">
        <v>0</v>
      </c>
      <c r="G19" s="49">
        <v>0</v>
      </c>
      <c r="H19" s="49">
        <f>H20*所得税率/2</f>
        <v>-130.5717387680539</v>
      </c>
      <c r="I19" s="49">
        <f>I20*所得税率/2</f>
        <v>-129.79656762817399</v>
      </c>
      <c r="J19" s="49">
        <f>J20*所得税率/2</f>
        <v>-168.1879382927506</v>
      </c>
      <c r="K19" s="49">
        <f t="shared" ref="K19:X19" si="4">K20*所得税率</f>
        <v>-334.82553430574137</v>
      </c>
      <c r="L19" s="49">
        <f t="shared" si="4"/>
        <v>-333.27519202598171</v>
      </c>
      <c r="M19" s="49">
        <f t="shared" si="4"/>
        <v>-331.72484974622205</v>
      </c>
      <c r="N19" s="49">
        <f t="shared" si="4"/>
        <v>-330.17450746646216</v>
      </c>
      <c r="O19" s="49">
        <f t="shared" si="4"/>
        <v>-377.58234244227299</v>
      </c>
      <c r="P19" s="49">
        <f t="shared" si="4"/>
        <v>-376.03200016251344</v>
      </c>
      <c r="Q19" s="49">
        <f t="shared" si="4"/>
        <v>-374.48165788275367</v>
      </c>
      <c r="R19" s="49">
        <f t="shared" si="4"/>
        <v>-372.93131560299395</v>
      </c>
      <c r="S19" s="49">
        <f t="shared" si="4"/>
        <v>-371.38097332323429</v>
      </c>
      <c r="T19" s="49">
        <f t="shared" si="4"/>
        <v>199.79776132508937</v>
      </c>
      <c r="U19" s="49">
        <f t="shared" si="4"/>
        <v>203.76288710369562</v>
      </c>
      <c r="V19" s="49">
        <f t="shared" si="4"/>
        <v>223.34619141358496</v>
      </c>
      <c r="W19" s="49">
        <f t="shared" si="4"/>
        <v>223.34619141358502</v>
      </c>
      <c r="X19" s="49">
        <f t="shared" si="4"/>
        <v>223.34619141358502</v>
      </c>
      <c r="Y19" s="106">
        <f t="shared" si="3"/>
        <v>-2557.365394977614</v>
      </c>
    </row>
    <row r="20" spans="2:25" ht="17.149999999999999" customHeight="1" x14ac:dyDescent="0.35">
      <c r="B20" s="42"/>
      <c r="C20" s="68" t="s">
        <v>162</v>
      </c>
      <c r="D20" s="68"/>
      <c r="E20" s="49">
        <f>损益!G15+成本!E13</f>
        <v>-1063.1780175015476</v>
      </c>
      <c r="F20" s="49">
        <f>损益!H15+成本!F13</f>
        <v>-1056.9766483825088</v>
      </c>
      <c r="G20" s="49">
        <f>损益!I15+成本!G13</f>
        <v>-1050.7752792634706</v>
      </c>
      <c r="H20" s="49">
        <f>损益!J15+成本!H13</f>
        <v>-1044.5739101444312</v>
      </c>
      <c r="I20" s="49">
        <f>损益!K15+成本!I13</f>
        <v>-1038.3725410253919</v>
      </c>
      <c r="J20" s="49">
        <f>损益!L15+成本!J13</f>
        <v>-1345.5035063420048</v>
      </c>
      <c r="K20" s="49">
        <f>损益!M15+成本!K13</f>
        <v>-1339.3021372229655</v>
      </c>
      <c r="L20" s="49">
        <f>损益!N15+成本!L13</f>
        <v>-1333.1007681039268</v>
      </c>
      <c r="M20" s="49">
        <f>损益!O15+成本!M13</f>
        <v>-1326.8993989848882</v>
      </c>
      <c r="N20" s="49">
        <f>损益!P15+成本!N13</f>
        <v>-1320.6980298658486</v>
      </c>
      <c r="O20" s="49">
        <f>损益!Q15+成本!O13</f>
        <v>-1510.329369769092</v>
      </c>
      <c r="P20" s="49">
        <f>损益!R15+成本!P13</f>
        <v>-1504.1280006500538</v>
      </c>
      <c r="Q20" s="49">
        <f>损益!S15+成本!Q13</f>
        <v>-1497.9266315310147</v>
      </c>
      <c r="R20" s="49">
        <f>损益!T15+成本!R13</f>
        <v>-1491.7252624119758</v>
      </c>
      <c r="S20" s="49">
        <f>损益!U15+成本!S13</f>
        <v>-1485.5238932929371</v>
      </c>
      <c r="T20" s="49">
        <f>损益!V15+成本!T13</f>
        <v>799.19104530035747</v>
      </c>
      <c r="U20" s="49">
        <f>损益!W15+成本!U13</f>
        <v>815.05154841478247</v>
      </c>
      <c r="V20" s="49">
        <f>损益!X15+成本!V13</f>
        <v>893.38476565433984</v>
      </c>
      <c r="W20" s="49">
        <f>损益!Y15+成本!W13</f>
        <v>893.38476565434007</v>
      </c>
      <c r="X20" s="49">
        <f>损益!Z15+成本!X13</f>
        <v>893.38476565434007</v>
      </c>
      <c r="Y20" s="106">
        <f t="shared" si="3"/>
        <v>-15114.616503813897</v>
      </c>
    </row>
    <row r="21" spans="2:25" ht="17.149999999999999" customHeight="1" x14ac:dyDescent="0.35">
      <c r="B21" s="42"/>
      <c r="C21" s="68"/>
      <c r="D21" s="68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106">
        <f t="shared" si="3"/>
        <v>0</v>
      </c>
    </row>
    <row r="22" spans="2:25" ht="17.149999999999999" customHeight="1" x14ac:dyDescent="0.35">
      <c r="B22" s="201" t="s">
        <v>163</v>
      </c>
      <c r="C22" s="68" t="s">
        <v>164</v>
      </c>
      <c r="D22" s="49">
        <f t="shared" ref="D22:X22" si="5">D5-D12</f>
        <v>-42500</v>
      </c>
      <c r="E22" s="49">
        <f t="shared" si="5"/>
        <v>1604.233930998985</v>
      </c>
      <c r="F22" s="49">
        <f t="shared" si="5"/>
        <v>1707.6753001180236</v>
      </c>
      <c r="G22" s="49">
        <f t="shared" si="5"/>
        <v>1665.2566692370629</v>
      </c>
      <c r="H22" s="49">
        <f t="shared" si="5"/>
        <v>1802.0297771241555</v>
      </c>
      <c r="I22" s="49">
        <f t="shared" si="5"/>
        <v>1807.4559751033146</v>
      </c>
      <c r="J22" s="49">
        <f t="shared" si="5"/>
        <v>1538.7163804512784</v>
      </c>
      <c r="K22" s="49">
        <f t="shared" si="5"/>
        <v>1711.5553455833078</v>
      </c>
      <c r="L22" s="49">
        <f t="shared" si="5"/>
        <v>1716.2063724225873</v>
      </c>
      <c r="M22" s="49">
        <f t="shared" si="5"/>
        <v>1720.8573992618667</v>
      </c>
      <c r="N22" s="49">
        <f t="shared" si="5"/>
        <v>1725.5084261011457</v>
      </c>
      <c r="O22" s="49">
        <f t="shared" si="5"/>
        <v>1583.284921173713</v>
      </c>
      <c r="P22" s="49">
        <f t="shared" si="5"/>
        <v>1587.9359480129924</v>
      </c>
      <c r="Q22" s="49">
        <f t="shared" si="5"/>
        <v>1592.5869748522716</v>
      </c>
      <c r="R22" s="49">
        <f t="shared" si="5"/>
        <v>1597.2380016915508</v>
      </c>
      <c r="S22" s="49">
        <f t="shared" si="5"/>
        <v>1601.88902853083</v>
      </c>
      <c r="T22" s="49">
        <f t="shared" si="5"/>
        <v>834.87758486022403</v>
      </c>
      <c r="U22" s="49">
        <f t="shared" si="5"/>
        <v>807.12170440998011</v>
      </c>
      <c r="V22" s="49">
        <f t="shared" si="5"/>
        <v>670.03857424075477</v>
      </c>
      <c r="W22" s="49">
        <f t="shared" si="5"/>
        <v>670.03857424075477</v>
      </c>
      <c r="X22" s="49">
        <f t="shared" si="5"/>
        <v>2688.3656644635794</v>
      </c>
      <c r="Y22" s="106">
        <f t="shared" si="3"/>
        <v>30632.872552878383</v>
      </c>
    </row>
    <row r="23" spans="2:25" ht="17.149999999999999" customHeight="1" x14ac:dyDescent="0.35">
      <c r="B23" s="201" t="s">
        <v>165</v>
      </c>
      <c r="C23" s="68" t="s">
        <v>166</v>
      </c>
      <c r="D23" s="49">
        <f>D22</f>
        <v>-42500</v>
      </c>
      <c r="E23" s="49">
        <f t="shared" ref="E23:X23" si="6">D23+E22</f>
        <v>-40895.766069001016</v>
      </c>
      <c r="F23" s="49">
        <f t="shared" si="6"/>
        <v>-39188.09076888299</v>
      </c>
      <c r="G23" s="49">
        <f t="shared" si="6"/>
        <v>-37522.83409964593</v>
      </c>
      <c r="H23" s="49">
        <f t="shared" si="6"/>
        <v>-35720.804322521777</v>
      </c>
      <c r="I23" s="49">
        <f t="shared" si="6"/>
        <v>-33913.348347418461</v>
      </c>
      <c r="J23" s="49">
        <f t="shared" si="6"/>
        <v>-32374.631966967183</v>
      </c>
      <c r="K23" s="49">
        <f t="shared" si="6"/>
        <v>-30663.076621383876</v>
      </c>
      <c r="L23" s="49">
        <f t="shared" si="6"/>
        <v>-28946.870248961288</v>
      </c>
      <c r="M23" s="49">
        <f t="shared" si="6"/>
        <v>-27226.012849699422</v>
      </c>
      <c r="N23" s="49">
        <f t="shared" si="6"/>
        <v>-25500.504423598275</v>
      </c>
      <c r="O23" s="49">
        <f t="shared" si="6"/>
        <v>-23917.219502424563</v>
      </c>
      <c r="P23" s="49">
        <f t="shared" si="6"/>
        <v>-22329.28355441157</v>
      </c>
      <c r="Q23" s="49">
        <f t="shared" si="6"/>
        <v>-20736.696579559299</v>
      </c>
      <c r="R23" s="49">
        <f t="shared" si="6"/>
        <v>-19139.458577867746</v>
      </c>
      <c r="S23" s="49">
        <f t="shared" si="6"/>
        <v>-17537.569549336917</v>
      </c>
      <c r="T23" s="49">
        <f t="shared" si="6"/>
        <v>-16702.691964476693</v>
      </c>
      <c r="U23" s="49">
        <f t="shared" si="6"/>
        <v>-15895.570260066714</v>
      </c>
      <c r="V23" s="49">
        <f t="shared" si="6"/>
        <v>-15225.531685825959</v>
      </c>
      <c r="W23" s="49">
        <f t="shared" si="6"/>
        <v>-14555.493111585205</v>
      </c>
      <c r="X23" s="49">
        <f t="shared" si="6"/>
        <v>-11867.127447121626</v>
      </c>
      <c r="Y23" s="107" t="s">
        <v>95</v>
      </c>
    </row>
    <row r="24" spans="2:25" ht="17.149999999999999" customHeight="1" x14ac:dyDescent="0.35">
      <c r="B24" s="42"/>
      <c r="C24" s="68" t="s">
        <v>167</v>
      </c>
      <c r="D24" s="70"/>
      <c r="E24" s="71"/>
      <c r="F24" s="49"/>
      <c r="G24" s="49"/>
      <c r="H24" s="49"/>
      <c r="I24" s="49"/>
      <c r="J24" s="93">
        <f t="shared" ref="J24:X24" si="7">IF(AND(I23&lt;0,J23&gt;0),I4-I23/J22,0)</f>
        <v>0</v>
      </c>
      <c r="K24" s="93">
        <f t="shared" si="7"/>
        <v>0</v>
      </c>
      <c r="L24" s="93">
        <f t="shared" si="7"/>
        <v>0</v>
      </c>
      <c r="M24" s="93">
        <f t="shared" si="7"/>
        <v>0</v>
      </c>
      <c r="N24" s="93">
        <f t="shared" si="7"/>
        <v>0</v>
      </c>
      <c r="O24" s="93">
        <f t="shared" si="7"/>
        <v>0</v>
      </c>
      <c r="P24" s="93">
        <f t="shared" si="7"/>
        <v>0</v>
      </c>
      <c r="Q24" s="93">
        <f t="shared" si="7"/>
        <v>0</v>
      </c>
      <c r="R24" s="93">
        <f t="shared" si="7"/>
        <v>0</v>
      </c>
      <c r="S24" s="93">
        <f t="shared" si="7"/>
        <v>0</v>
      </c>
      <c r="T24" s="93">
        <f t="shared" si="7"/>
        <v>0</v>
      </c>
      <c r="U24" s="93">
        <f t="shared" si="7"/>
        <v>0</v>
      </c>
      <c r="V24" s="93">
        <f t="shared" si="7"/>
        <v>0</v>
      </c>
      <c r="W24" s="93">
        <f t="shared" si="7"/>
        <v>0</v>
      </c>
      <c r="X24" s="93">
        <f t="shared" si="7"/>
        <v>0</v>
      </c>
      <c r="Y24" s="106">
        <f>SUM(E24:X24)</f>
        <v>0</v>
      </c>
    </row>
    <row r="25" spans="2:25" ht="17.149999999999999" customHeight="1" x14ac:dyDescent="0.35">
      <c r="B25" s="42"/>
      <c r="C25" s="205" t="s">
        <v>168</v>
      </c>
      <c r="D25" s="49">
        <f t="shared" ref="D25:X25" si="8">D22+D19</f>
        <v>-42500</v>
      </c>
      <c r="E25" s="49">
        <f t="shared" si="8"/>
        <v>1604.233930998985</v>
      </c>
      <c r="F25" s="49">
        <f t="shared" si="8"/>
        <v>1707.6753001180236</v>
      </c>
      <c r="G25" s="49">
        <f t="shared" si="8"/>
        <v>1665.2566692370629</v>
      </c>
      <c r="H25" s="49">
        <f t="shared" si="8"/>
        <v>1671.4580383561017</v>
      </c>
      <c r="I25" s="49">
        <f t="shared" si="8"/>
        <v>1677.6594074751406</v>
      </c>
      <c r="J25" s="49">
        <f t="shared" si="8"/>
        <v>1370.5284421585277</v>
      </c>
      <c r="K25" s="49">
        <f t="shared" si="8"/>
        <v>1376.7298112775666</v>
      </c>
      <c r="L25" s="49">
        <f t="shared" si="8"/>
        <v>1382.9311803966057</v>
      </c>
      <c r="M25" s="49">
        <f t="shared" si="8"/>
        <v>1389.1325495156448</v>
      </c>
      <c r="N25" s="49">
        <f t="shared" si="8"/>
        <v>1395.3339186346834</v>
      </c>
      <c r="O25" s="49">
        <f t="shared" si="8"/>
        <v>1205.7025787314401</v>
      </c>
      <c r="P25" s="49">
        <f t="shared" si="8"/>
        <v>1211.903947850479</v>
      </c>
      <c r="Q25" s="49">
        <f t="shared" si="8"/>
        <v>1218.1053169695178</v>
      </c>
      <c r="R25" s="49">
        <f t="shared" si="8"/>
        <v>1224.3066860885569</v>
      </c>
      <c r="S25" s="49">
        <f t="shared" si="8"/>
        <v>1230.5080552075958</v>
      </c>
      <c r="T25" s="49">
        <f t="shared" si="8"/>
        <v>1034.6753461853134</v>
      </c>
      <c r="U25" s="49">
        <f t="shared" si="8"/>
        <v>1010.8845915136758</v>
      </c>
      <c r="V25" s="49">
        <f t="shared" si="8"/>
        <v>893.38476565433973</v>
      </c>
      <c r="W25" s="49">
        <f t="shared" si="8"/>
        <v>893.38476565433984</v>
      </c>
      <c r="X25" s="49">
        <f t="shared" si="8"/>
        <v>2911.7118558771645</v>
      </c>
      <c r="Y25" s="107"/>
    </row>
    <row r="26" spans="2:25" ht="17.149999999999999" customHeight="1" x14ac:dyDescent="0.35">
      <c r="B26" s="72"/>
      <c r="C26" s="206" t="s">
        <v>169</v>
      </c>
      <c r="D26" s="73">
        <f>D25</f>
        <v>-42500</v>
      </c>
      <c r="E26" s="49">
        <f>D26+E25</f>
        <v>-40895.766069001016</v>
      </c>
      <c r="F26" s="73">
        <f t="shared" ref="F26:X26" si="9">E26+F25</f>
        <v>-39188.09076888299</v>
      </c>
      <c r="G26" s="73">
        <f t="shared" si="9"/>
        <v>-37522.83409964593</v>
      </c>
      <c r="H26" s="73">
        <f t="shared" si="9"/>
        <v>-35851.376061289826</v>
      </c>
      <c r="I26" s="73">
        <f t="shared" si="9"/>
        <v>-34173.716653814685</v>
      </c>
      <c r="J26" s="73">
        <f t="shared" si="9"/>
        <v>-32803.188211656154</v>
      </c>
      <c r="K26" s="73">
        <f t="shared" si="9"/>
        <v>-31426.458400378586</v>
      </c>
      <c r="L26" s="73">
        <f t="shared" si="9"/>
        <v>-30043.527219981981</v>
      </c>
      <c r="M26" s="73">
        <f t="shared" si="9"/>
        <v>-28654.394670466336</v>
      </c>
      <c r="N26" s="73">
        <f t="shared" si="9"/>
        <v>-27259.060751831654</v>
      </c>
      <c r="O26" s="73">
        <f t="shared" si="9"/>
        <v>-26053.358173100212</v>
      </c>
      <c r="P26" s="73">
        <f t="shared" si="9"/>
        <v>-24841.454225249734</v>
      </c>
      <c r="Q26" s="73">
        <f t="shared" si="9"/>
        <v>-23623.348908280215</v>
      </c>
      <c r="R26" s="73">
        <f t="shared" si="9"/>
        <v>-22399.04222219166</v>
      </c>
      <c r="S26" s="73">
        <f t="shared" si="9"/>
        <v>-21168.534166984064</v>
      </c>
      <c r="T26" s="73">
        <f t="shared" si="9"/>
        <v>-20133.858820798749</v>
      </c>
      <c r="U26" s="73">
        <f t="shared" si="9"/>
        <v>-19122.974229285071</v>
      </c>
      <c r="V26" s="73">
        <f t="shared" si="9"/>
        <v>-18229.589463630731</v>
      </c>
      <c r="W26" s="73">
        <f t="shared" si="9"/>
        <v>-17336.204697976391</v>
      </c>
      <c r="X26" s="73">
        <f t="shared" si="9"/>
        <v>-14424.492842099226</v>
      </c>
      <c r="Y26" s="108"/>
    </row>
    <row r="27" spans="2:25" ht="17.149999999999999" customHeight="1" thickBot="1" x14ac:dyDescent="0.4">
      <c r="B27" s="74"/>
      <c r="C27" s="207" t="s">
        <v>170</v>
      </c>
      <c r="D27" s="75">
        <f>0</f>
        <v>0</v>
      </c>
      <c r="E27" s="75">
        <f t="shared" ref="E27:X27" si="10">IF(AND(D26&lt;0,E26&gt;0),D4-D26/E25,0)</f>
        <v>0</v>
      </c>
      <c r="F27" s="75">
        <f t="shared" si="10"/>
        <v>0</v>
      </c>
      <c r="G27" s="75">
        <f t="shared" si="10"/>
        <v>0</v>
      </c>
      <c r="H27" s="75">
        <f t="shared" si="10"/>
        <v>0</v>
      </c>
      <c r="I27" s="75">
        <f t="shared" si="10"/>
        <v>0</v>
      </c>
      <c r="J27" s="75">
        <f t="shared" si="10"/>
        <v>0</v>
      </c>
      <c r="K27" s="75">
        <f t="shared" si="10"/>
        <v>0</v>
      </c>
      <c r="L27" s="75">
        <f t="shared" si="10"/>
        <v>0</v>
      </c>
      <c r="M27" s="75">
        <f t="shared" si="10"/>
        <v>0</v>
      </c>
      <c r="N27" s="75">
        <f t="shared" si="10"/>
        <v>0</v>
      </c>
      <c r="O27" s="75">
        <f t="shared" si="10"/>
        <v>0</v>
      </c>
      <c r="P27" s="75">
        <f t="shared" si="10"/>
        <v>0</v>
      </c>
      <c r="Q27" s="75">
        <f t="shared" si="10"/>
        <v>0</v>
      </c>
      <c r="R27" s="75">
        <f t="shared" si="10"/>
        <v>0</v>
      </c>
      <c r="S27" s="75">
        <f t="shared" si="10"/>
        <v>0</v>
      </c>
      <c r="T27" s="75">
        <f t="shared" si="10"/>
        <v>0</v>
      </c>
      <c r="U27" s="75">
        <f t="shared" si="10"/>
        <v>0</v>
      </c>
      <c r="V27" s="75">
        <f t="shared" si="10"/>
        <v>0</v>
      </c>
      <c r="W27" s="75">
        <f t="shared" si="10"/>
        <v>0</v>
      </c>
      <c r="X27" s="75">
        <f t="shared" si="10"/>
        <v>0</v>
      </c>
      <c r="Y27" s="106">
        <f>SUM(E27:X27)</f>
        <v>0</v>
      </c>
    </row>
    <row r="28" spans="2:25" ht="17.149999999999999" customHeight="1" x14ac:dyDescent="0.3">
      <c r="B28" s="76"/>
      <c r="C28" s="77"/>
      <c r="D28" s="77"/>
      <c r="E28" s="77"/>
      <c r="F28" s="77"/>
      <c r="G28" s="77"/>
      <c r="H28" s="77"/>
      <c r="I28" s="94" t="s">
        <v>171</v>
      </c>
      <c r="J28" s="94"/>
      <c r="K28" s="95"/>
      <c r="L28" s="95" t="s">
        <v>172</v>
      </c>
      <c r="M28" s="95"/>
      <c r="N28" s="76"/>
      <c r="O28" s="76"/>
      <c r="P28" s="77"/>
      <c r="Q28" s="77"/>
      <c r="R28" s="77"/>
      <c r="S28" s="76"/>
      <c r="T28" s="76"/>
      <c r="U28" s="76"/>
      <c r="V28" s="76"/>
      <c r="W28" s="76"/>
      <c r="X28" s="76"/>
      <c r="Y28" s="76"/>
    </row>
    <row r="29" spans="2:25" ht="17.149999999999999" customHeight="1" x14ac:dyDescent="0.3">
      <c r="B29" s="78"/>
      <c r="C29" s="208" t="s">
        <v>173</v>
      </c>
      <c r="D29" s="79"/>
      <c r="E29" s="80"/>
      <c r="F29" s="80"/>
      <c r="G29" s="84"/>
      <c r="H29" s="84"/>
      <c r="I29" s="96">
        <f>IRR(D22:X22)*100</f>
        <v>-3.0946558303526106</v>
      </c>
      <c r="J29" s="97"/>
      <c r="K29" s="97"/>
      <c r="L29" s="96">
        <f>IRR(D25:X25)*100</f>
        <v>-3.7478741779231051</v>
      </c>
      <c r="M29" s="98"/>
      <c r="N29" s="509"/>
      <c r="O29" s="509"/>
      <c r="P29" s="98"/>
      <c r="Q29" s="98"/>
      <c r="R29" s="98"/>
      <c r="S29" s="84"/>
      <c r="T29" s="84"/>
      <c r="U29" s="84"/>
      <c r="V29" s="84"/>
      <c r="W29" s="84"/>
      <c r="X29" s="84"/>
      <c r="Y29" s="84"/>
    </row>
    <row r="30" spans="2:25" ht="17.149999999999999" customHeight="1" x14ac:dyDescent="0.35">
      <c r="B30" s="81"/>
      <c r="C30" s="79" t="s">
        <v>174</v>
      </c>
      <c r="D30" s="79"/>
      <c r="E30" s="81" t="s">
        <v>175</v>
      </c>
      <c r="F30" s="82">
        <v>0.05</v>
      </c>
      <c r="G30" s="84"/>
      <c r="H30" s="84"/>
      <c r="I30" s="99">
        <f>NPV(F30,D22:X22)</f>
        <v>-21779.114192085122</v>
      </c>
      <c r="J30" s="84"/>
      <c r="K30" s="100"/>
      <c r="L30" s="99">
        <f>NPV(F30,D25:X25)</f>
        <v>-23459.715529289788</v>
      </c>
      <c r="M30" s="98"/>
      <c r="N30" s="509"/>
      <c r="O30" s="509"/>
      <c r="P30" s="98"/>
      <c r="Q30" s="98"/>
      <c r="R30" s="98"/>
      <c r="S30" s="84"/>
      <c r="T30" s="84"/>
      <c r="U30" s="84"/>
      <c r="V30" s="84"/>
      <c r="W30" s="84"/>
      <c r="X30" s="84"/>
      <c r="Y30" s="84"/>
    </row>
    <row r="31" spans="2:25" ht="17.149999999999999" customHeight="1" x14ac:dyDescent="0.35">
      <c r="B31" s="81"/>
      <c r="C31" s="208" t="s">
        <v>176</v>
      </c>
      <c r="D31" s="79"/>
      <c r="E31" s="81"/>
      <c r="F31" s="81"/>
      <c r="G31" s="84"/>
      <c r="H31" s="100"/>
      <c r="I31" s="101">
        <f>Y24</f>
        <v>0</v>
      </c>
      <c r="J31" s="100"/>
      <c r="K31" s="100"/>
      <c r="L31" s="102">
        <f>Y27</f>
        <v>0</v>
      </c>
      <c r="M31" s="98"/>
      <c r="N31" s="509"/>
      <c r="O31" s="509"/>
      <c r="P31" s="105"/>
      <c r="Q31" s="98"/>
      <c r="R31" s="98"/>
      <c r="S31" s="84"/>
      <c r="T31" s="84"/>
      <c r="U31" s="84"/>
      <c r="V31" s="84"/>
      <c r="W31" s="84"/>
      <c r="X31" s="84"/>
      <c r="Y31" s="84"/>
    </row>
    <row r="36" spans="2:26" x14ac:dyDescent="0.3"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  <c r="S36" s="71"/>
      <c r="T36" s="71"/>
      <c r="U36" s="71"/>
      <c r="V36" s="71"/>
      <c r="W36" s="71"/>
      <c r="X36" s="71"/>
    </row>
    <row r="37" spans="2:26" ht="25.5" customHeight="1" x14ac:dyDescent="0.3">
      <c r="B37" s="510" t="s">
        <v>177</v>
      </c>
      <c r="C37" s="510"/>
      <c r="D37" s="510"/>
      <c r="E37" s="510"/>
      <c r="F37" s="510"/>
      <c r="G37" s="510"/>
      <c r="H37" s="510"/>
      <c r="I37" s="510"/>
      <c r="J37" s="510"/>
      <c r="K37" s="510"/>
      <c r="L37" s="510"/>
      <c r="M37" s="510"/>
      <c r="N37" s="510"/>
      <c r="O37" s="510"/>
      <c r="P37" s="510"/>
      <c r="Q37" s="510"/>
      <c r="R37" s="510"/>
      <c r="S37" s="510"/>
      <c r="T37" s="510"/>
      <c r="U37" s="510"/>
      <c r="V37" s="510"/>
      <c r="W37" s="510"/>
      <c r="X37" s="510"/>
      <c r="Y37" s="510"/>
    </row>
    <row r="38" spans="2:26" ht="14.6" thickBot="1" x14ac:dyDescent="0.35"/>
    <row r="39" spans="2:26" ht="17.149999999999999" customHeight="1" x14ac:dyDescent="0.3">
      <c r="B39" s="518" t="s">
        <v>1</v>
      </c>
      <c r="C39" s="511" t="s">
        <v>64</v>
      </c>
      <c r="D39" s="419"/>
      <c r="E39" s="513" t="s">
        <v>178</v>
      </c>
      <c r="F39" s="514"/>
      <c r="G39" s="514"/>
      <c r="H39" s="514"/>
      <c r="I39" s="514"/>
      <c r="J39" s="514"/>
      <c r="K39" s="514"/>
      <c r="L39" s="514"/>
      <c r="M39" s="514"/>
      <c r="N39" s="514"/>
      <c r="O39" s="514"/>
      <c r="P39" s="514"/>
      <c r="Q39" s="514"/>
      <c r="R39" s="514"/>
      <c r="S39" s="514"/>
      <c r="T39" s="514"/>
      <c r="U39" s="514"/>
      <c r="V39" s="514"/>
      <c r="W39" s="514"/>
      <c r="X39" s="514"/>
      <c r="Y39" s="515" t="s">
        <v>68</v>
      </c>
      <c r="Z39" s="251"/>
    </row>
    <row r="40" spans="2:26" ht="17.149999999999999" customHeight="1" x14ac:dyDescent="0.3">
      <c r="B40" s="519"/>
      <c r="C40" s="512"/>
      <c r="D40" s="420">
        <f t="shared" ref="D40:X40" si="11">D4</f>
        <v>1</v>
      </c>
      <c r="E40" s="420">
        <f t="shared" si="11"/>
        <v>1</v>
      </c>
      <c r="F40" s="420">
        <f t="shared" si="11"/>
        <v>2</v>
      </c>
      <c r="G40" s="420">
        <f t="shared" si="11"/>
        <v>3</v>
      </c>
      <c r="H40" s="420">
        <f t="shared" si="11"/>
        <v>4</v>
      </c>
      <c r="I40" s="420">
        <f t="shared" si="11"/>
        <v>5</v>
      </c>
      <c r="J40" s="420">
        <f t="shared" si="11"/>
        <v>6</v>
      </c>
      <c r="K40" s="420">
        <f t="shared" si="11"/>
        <v>7</v>
      </c>
      <c r="L40" s="420">
        <f t="shared" si="11"/>
        <v>8</v>
      </c>
      <c r="M40" s="420">
        <f t="shared" si="11"/>
        <v>9</v>
      </c>
      <c r="N40" s="420">
        <f t="shared" si="11"/>
        <v>10</v>
      </c>
      <c r="O40" s="420">
        <f t="shared" si="11"/>
        <v>11</v>
      </c>
      <c r="P40" s="420">
        <f t="shared" si="11"/>
        <v>12</v>
      </c>
      <c r="Q40" s="420">
        <f t="shared" si="11"/>
        <v>13</v>
      </c>
      <c r="R40" s="420">
        <f t="shared" si="11"/>
        <v>14</v>
      </c>
      <c r="S40" s="420">
        <f t="shared" si="11"/>
        <v>15</v>
      </c>
      <c r="T40" s="420">
        <f t="shared" si="11"/>
        <v>16</v>
      </c>
      <c r="U40" s="420">
        <f t="shared" si="11"/>
        <v>17</v>
      </c>
      <c r="V40" s="420">
        <f t="shared" si="11"/>
        <v>18</v>
      </c>
      <c r="W40" s="420">
        <f t="shared" si="11"/>
        <v>19</v>
      </c>
      <c r="X40" s="420">
        <f t="shared" si="11"/>
        <v>20</v>
      </c>
      <c r="Y40" s="516"/>
      <c r="Z40" s="251"/>
    </row>
    <row r="41" spans="2:26" x14ac:dyDescent="0.35">
      <c r="B41" s="309"/>
      <c r="C41" s="431"/>
      <c r="D41" s="431"/>
      <c r="E41" s="365"/>
      <c r="F41" s="365"/>
      <c r="G41" s="365"/>
      <c r="H41" s="365"/>
      <c r="I41" s="365"/>
      <c r="J41" s="365"/>
      <c r="K41" s="365"/>
      <c r="L41" s="365"/>
      <c r="M41" s="365"/>
      <c r="N41" s="365"/>
      <c r="O41" s="365"/>
      <c r="P41" s="365"/>
      <c r="Q41" s="365"/>
      <c r="R41" s="365"/>
      <c r="S41" s="365"/>
      <c r="T41" s="365"/>
      <c r="U41" s="365"/>
      <c r="V41" s="365"/>
      <c r="W41" s="365"/>
      <c r="X41" s="365"/>
      <c r="Y41" s="421" t="s">
        <v>95</v>
      </c>
      <c r="Z41" s="251"/>
    </row>
    <row r="42" spans="2:26" x14ac:dyDescent="0.35">
      <c r="B42" s="252">
        <v>1</v>
      </c>
      <c r="C42" s="431" t="s">
        <v>148</v>
      </c>
      <c r="D42" s="431"/>
      <c r="E42" s="365">
        <f t="shared" ref="E42:X42" si="12">SUM(E43:E47)</f>
        <v>1998.2820000000002</v>
      </c>
      <c r="F42" s="365">
        <f t="shared" si="12"/>
        <v>2095.5219999999999</v>
      </c>
      <c r="G42" s="365">
        <f t="shared" si="12"/>
        <v>2046.902</v>
      </c>
      <c r="H42" s="365">
        <f t="shared" si="12"/>
        <v>2046.902</v>
      </c>
      <c r="I42" s="365">
        <f t="shared" si="12"/>
        <v>2046.902</v>
      </c>
      <c r="J42" s="365">
        <f t="shared" si="12"/>
        <v>2046.902</v>
      </c>
      <c r="K42" s="365">
        <f t="shared" si="12"/>
        <v>2046.902</v>
      </c>
      <c r="L42" s="365">
        <f t="shared" si="12"/>
        <v>2046.902</v>
      </c>
      <c r="M42" s="365">
        <f t="shared" si="12"/>
        <v>2046.902</v>
      </c>
      <c r="N42" s="365">
        <f t="shared" si="12"/>
        <v>2046.902</v>
      </c>
      <c r="O42" s="365">
        <f t="shared" si="12"/>
        <v>2046.902</v>
      </c>
      <c r="P42" s="365">
        <f t="shared" si="12"/>
        <v>2046.902</v>
      </c>
      <c r="Q42" s="365">
        <f t="shared" si="12"/>
        <v>2046.902</v>
      </c>
      <c r="R42" s="365">
        <f t="shared" si="12"/>
        <v>2046.902</v>
      </c>
      <c r="S42" s="365">
        <f t="shared" si="12"/>
        <v>2046.902</v>
      </c>
      <c r="T42" s="365">
        <f t="shared" si="12"/>
        <v>2046.902</v>
      </c>
      <c r="U42" s="365">
        <f t="shared" si="12"/>
        <v>2066.7276288930316</v>
      </c>
      <c r="V42" s="365">
        <f t="shared" si="12"/>
        <v>2164.6441504424779</v>
      </c>
      <c r="W42" s="365">
        <f t="shared" si="12"/>
        <v>2164.6441504424779</v>
      </c>
      <c r="X42" s="365">
        <f t="shared" si="12"/>
        <v>4122.9712406653025</v>
      </c>
      <c r="Y42" s="255">
        <f t="shared" ref="Y42:Y48" si="13">SUM(E42:X42)</f>
        <v>43269.419170443311</v>
      </c>
      <c r="Z42" s="251"/>
    </row>
    <row r="43" spans="2:26" x14ac:dyDescent="0.35">
      <c r="B43" s="381" t="s">
        <v>149</v>
      </c>
      <c r="C43" s="431" t="s">
        <v>96</v>
      </c>
      <c r="D43" s="431"/>
      <c r="E43" s="365">
        <f t="shared" ref="E43:X43" si="14">E6</f>
        <v>1762.7976991150445</v>
      </c>
      <c r="F43" s="365">
        <f t="shared" si="14"/>
        <v>1860.0376991150442</v>
      </c>
      <c r="G43" s="365">
        <f t="shared" si="14"/>
        <v>1811.4176991150443</v>
      </c>
      <c r="H43" s="365">
        <f t="shared" si="14"/>
        <v>1811.4176991150443</v>
      </c>
      <c r="I43" s="365">
        <f t="shared" si="14"/>
        <v>1811.4176991150443</v>
      </c>
      <c r="J43" s="365">
        <f t="shared" si="14"/>
        <v>1811.4176991150443</v>
      </c>
      <c r="K43" s="365">
        <f t="shared" si="14"/>
        <v>1811.4176991150443</v>
      </c>
      <c r="L43" s="365">
        <f t="shared" si="14"/>
        <v>1811.4176991150443</v>
      </c>
      <c r="M43" s="365">
        <f t="shared" si="14"/>
        <v>1811.4176991150443</v>
      </c>
      <c r="N43" s="365">
        <f t="shared" si="14"/>
        <v>1811.4176991150443</v>
      </c>
      <c r="O43" s="365">
        <f t="shared" si="14"/>
        <v>1811.4176991150443</v>
      </c>
      <c r="P43" s="365">
        <f t="shared" si="14"/>
        <v>1811.4176991150443</v>
      </c>
      <c r="Q43" s="365">
        <f t="shared" si="14"/>
        <v>1811.4176991150443</v>
      </c>
      <c r="R43" s="365">
        <f t="shared" si="14"/>
        <v>1811.4176991150443</v>
      </c>
      <c r="S43" s="365">
        <f t="shared" si="14"/>
        <v>1811.4176991150443</v>
      </c>
      <c r="T43" s="365">
        <f t="shared" si="14"/>
        <v>1811.4176991150443</v>
      </c>
      <c r="U43" s="365">
        <f t="shared" si="14"/>
        <v>1811.4176991150443</v>
      </c>
      <c r="V43" s="365">
        <f t="shared" si="14"/>
        <v>1811.4176991150443</v>
      </c>
      <c r="W43" s="365">
        <f t="shared" si="14"/>
        <v>1811.4176991150443</v>
      </c>
      <c r="X43" s="365">
        <f t="shared" si="14"/>
        <v>1811.4176991150443</v>
      </c>
      <c r="Y43" s="255">
        <f t="shared" si="13"/>
        <v>36228.353982300898</v>
      </c>
      <c r="Z43" s="251"/>
    </row>
    <row r="44" spans="2:26" x14ac:dyDescent="0.35">
      <c r="B44" s="252"/>
      <c r="C44" s="68" t="s">
        <v>358</v>
      </c>
      <c r="D44" s="431"/>
      <c r="E44" s="365">
        <f>损益!G12</f>
        <v>0</v>
      </c>
      <c r="F44" s="365">
        <f>损益!H12</f>
        <v>0</v>
      </c>
      <c r="G44" s="365">
        <f>损益!I12</f>
        <v>0</v>
      </c>
      <c r="H44" s="365">
        <f>损益!J12</f>
        <v>0</v>
      </c>
      <c r="I44" s="365">
        <f>损益!K12</f>
        <v>0</v>
      </c>
      <c r="J44" s="365">
        <f>损益!L12</f>
        <v>0</v>
      </c>
      <c r="K44" s="365">
        <f>损益!M12</f>
        <v>0</v>
      </c>
      <c r="L44" s="365">
        <f>损益!N12</f>
        <v>0</v>
      </c>
      <c r="M44" s="365">
        <f>损益!O12</f>
        <v>0</v>
      </c>
      <c r="N44" s="365">
        <f>损益!P12</f>
        <v>0</v>
      </c>
      <c r="O44" s="365">
        <f>损益!Q12</f>
        <v>0</v>
      </c>
      <c r="P44" s="365">
        <f>损益!R12</f>
        <v>0</v>
      </c>
      <c r="Q44" s="365">
        <f>损益!S12</f>
        <v>0</v>
      </c>
      <c r="R44" s="365">
        <f>损益!T12</f>
        <v>0</v>
      </c>
      <c r="S44" s="365">
        <f>损益!U12</f>
        <v>0</v>
      </c>
      <c r="T44" s="365">
        <f>损益!V12</f>
        <v>0</v>
      </c>
      <c r="U44" s="365">
        <f>损益!W12</f>
        <v>19.825628893031336</v>
      </c>
      <c r="V44" s="365">
        <f>损益!X12</f>
        <v>117.74215044247789</v>
      </c>
      <c r="W44" s="365">
        <f>损益!Y12</f>
        <v>117.74215044247789</v>
      </c>
      <c r="X44" s="365">
        <f>损益!Z12</f>
        <v>117.74215044247789</v>
      </c>
      <c r="Y44" s="255">
        <f t="shared" si="13"/>
        <v>373.05208022046503</v>
      </c>
      <c r="Z44" s="251"/>
    </row>
    <row r="45" spans="2:26" x14ac:dyDescent="0.35">
      <c r="B45" s="252"/>
      <c r="C45" s="431" t="s">
        <v>150</v>
      </c>
      <c r="D45" s="431"/>
      <c r="E45" s="365">
        <f>损益!G37</f>
        <v>235.48430088495579</v>
      </c>
      <c r="F45" s="365">
        <f>损益!H37</f>
        <v>235.48430088495579</v>
      </c>
      <c r="G45" s="365">
        <f>损益!I37</f>
        <v>235.48430088495579</v>
      </c>
      <c r="H45" s="365">
        <f>损益!J37</f>
        <v>235.48430088495579</v>
      </c>
      <c r="I45" s="365">
        <f>损益!K37</f>
        <v>235.48430088495579</v>
      </c>
      <c r="J45" s="365">
        <f>损益!L37</f>
        <v>235.48430088495579</v>
      </c>
      <c r="K45" s="365">
        <f>损益!M37</f>
        <v>235.48430088495579</v>
      </c>
      <c r="L45" s="365">
        <f>损益!N37</f>
        <v>235.48430088495579</v>
      </c>
      <c r="M45" s="365">
        <f>损益!O37</f>
        <v>235.48430088495579</v>
      </c>
      <c r="N45" s="365">
        <f>损益!P37</f>
        <v>235.48430088495579</v>
      </c>
      <c r="O45" s="365">
        <f>损益!Q37</f>
        <v>235.48430088495579</v>
      </c>
      <c r="P45" s="365">
        <f>损益!R37</f>
        <v>235.48430088495579</v>
      </c>
      <c r="Q45" s="365">
        <f>损益!S37</f>
        <v>235.48430088495579</v>
      </c>
      <c r="R45" s="365">
        <f>损益!T37</f>
        <v>235.48430088495579</v>
      </c>
      <c r="S45" s="365">
        <f>损益!U37</f>
        <v>235.48430088495579</v>
      </c>
      <c r="T45" s="365">
        <f>损益!V37</f>
        <v>235.48430088495579</v>
      </c>
      <c r="U45" s="365">
        <f>损益!W37</f>
        <v>235.48430088495579</v>
      </c>
      <c r="V45" s="365">
        <f>损益!X37</f>
        <v>235.48430088495579</v>
      </c>
      <c r="W45" s="365">
        <f>损益!Y37</f>
        <v>235.48430088495579</v>
      </c>
      <c r="X45" s="365">
        <f>损益!Z37</f>
        <v>235.48430088495579</v>
      </c>
      <c r="Y45" s="255">
        <f t="shared" si="13"/>
        <v>4709.6860176991149</v>
      </c>
      <c r="Z45" s="251"/>
    </row>
    <row r="46" spans="2:26" x14ac:dyDescent="0.35">
      <c r="B46" s="381" t="s">
        <v>151</v>
      </c>
      <c r="C46" s="431" t="s">
        <v>152</v>
      </c>
      <c r="D46" s="431"/>
      <c r="E46" s="365">
        <v>0</v>
      </c>
      <c r="F46" s="365">
        <f>F9</f>
        <v>0</v>
      </c>
      <c r="G46" s="365">
        <v>0</v>
      </c>
      <c r="H46" s="365">
        <v>0</v>
      </c>
      <c r="I46" s="365">
        <v>0</v>
      </c>
      <c r="J46" s="365">
        <v>0</v>
      </c>
      <c r="K46" s="365">
        <v>0</v>
      </c>
      <c r="L46" s="365">
        <v>0</v>
      </c>
      <c r="M46" s="365">
        <v>0</v>
      </c>
      <c r="N46" s="365">
        <v>0</v>
      </c>
      <c r="O46" s="365">
        <v>0</v>
      </c>
      <c r="P46" s="365">
        <v>0</v>
      </c>
      <c r="Q46" s="365">
        <v>0</v>
      </c>
      <c r="R46" s="365">
        <v>0</v>
      </c>
      <c r="S46" s="365">
        <v>0</v>
      </c>
      <c r="T46" s="365">
        <v>0</v>
      </c>
      <c r="U46" s="365">
        <v>0</v>
      </c>
      <c r="V46" s="365">
        <v>0</v>
      </c>
      <c r="W46" s="365">
        <v>0</v>
      </c>
      <c r="X46" s="365">
        <f>X9</f>
        <v>1958.3270902228246</v>
      </c>
      <c r="Y46" s="255">
        <f t="shared" si="13"/>
        <v>1958.3270902228246</v>
      </c>
      <c r="Z46" s="251"/>
    </row>
    <row r="47" spans="2:26" x14ac:dyDescent="0.35">
      <c r="B47" s="381" t="s">
        <v>153</v>
      </c>
      <c r="C47" s="431" t="s">
        <v>154</v>
      </c>
      <c r="D47" s="431"/>
      <c r="E47" s="365">
        <v>0</v>
      </c>
      <c r="F47" s="365">
        <v>0</v>
      </c>
      <c r="G47" s="365">
        <v>0</v>
      </c>
      <c r="H47" s="365">
        <v>0</v>
      </c>
      <c r="I47" s="365">
        <v>0</v>
      </c>
      <c r="J47" s="365">
        <v>0</v>
      </c>
      <c r="K47" s="365">
        <v>0</v>
      </c>
      <c r="L47" s="365">
        <v>0</v>
      </c>
      <c r="M47" s="365">
        <v>0</v>
      </c>
      <c r="N47" s="365">
        <v>0</v>
      </c>
      <c r="O47" s="365">
        <v>0</v>
      </c>
      <c r="P47" s="365">
        <v>0</v>
      </c>
      <c r="Q47" s="365">
        <v>0</v>
      </c>
      <c r="R47" s="365">
        <v>0</v>
      </c>
      <c r="S47" s="365">
        <v>0</v>
      </c>
      <c r="T47" s="365">
        <v>0</v>
      </c>
      <c r="U47" s="365">
        <v>0</v>
      </c>
      <c r="V47" s="365">
        <v>0</v>
      </c>
      <c r="W47" s="365">
        <v>0</v>
      </c>
      <c r="X47" s="365"/>
      <c r="Y47" s="255">
        <f t="shared" si="13"/>
        <v>0</v>
      </c>
      <c r="Z47" s="251"/>
    </row>
    <row r="48" spans="2:26" x14ac:dyDescent="0.35">
      <c r="B48" s="252"/>
      <c r="C48" s="431"/>
      <c r="D48" s="431"/>
      <c r="E48" s="365"/>
      <c r="F48" s="365"/>
      <c r="G48" s="365"/>
      <c r="H48" s="365"/>
      <c r="I48" s="365"/>
      <c r="J48" s="365"/>
      <c r="K48" s="365"/>
      <c r="L48" s="365"/>
      <c r="M48" s="365"/>
      <c r="N48" s="365"/>
      <c r="O48" s="365"/>
      <c r="P48" s="365"/>
      <c r="Q48" s="365"/>
      <c r="R48" s="365"/>
      <c r="S48" s="365"/>
      <c r="T48" s="365"/>
      <c r="U48" s="365"/>
      <c r="V48" s="365"/>
      <c r="W48" s="365"/>
      <c r="X48" s="365"/>
      <c r="Y48" s="255">
        <f t="shared" si="13"/>
        <v>0</v>
      </c>
      <c r="Z48" s="251"/>
    </row>
    <row r="49" spans="2:26" x14ac:dyDescent="0.35">
      <c r="B49" s="252">
        <v>2</v>
      </c>
      <c r="C49" s="431" t="s">
        <v>155</v>
      </c>
      <c r="D49" s="365">
        <f t="shared" ref="D49:X49" si="15">SUM(D50:D58)</f>
        <v>8626.0247323429339</v>
      </c>
      <c r="E49" s="365">
        <f t="shared" si="15"/>
        <v>1998.2819999999999</v>
      </c>
      <c r="F49" s="365">
        <f t="shared" si="15"/>
        <v>2095.5219999999999</v>
      </c>
      <c r="G49" s="365">
        <f t="shared" si="15"/>
        <v>2046.9019999999996</v>
      </c>
      <c r="H49" s="365">
        <f t="shared" si="15"/>
        <v>2046.902</v>
      </c>
      <c r="I49" s="365">
        <f t="shared" si="15"/>
        <v>2046.9020000000005</v>
      </c>
      <c r="J49" s="365">
        <f t="shared" si="15"/>
        <v>2046.9020000000005</v>
      </c>
      <c r="K49" s="365">
        <f t="shared" si="15"/>
        <v>2046.902</v>
      </c>
      <c r="L49" s="365">
        <f t="shared" si="15"/>
        <v>2046.9020000000005</v>
      </c>
      <c r="M49" s="365">
        <f t="shared" si="15"/>
        <v>2046.9020000000021</v>
      </c>
      <c r="N49" s="365">
        <f t="shared" si="15"/>
        <v>2046.9020000000019</v>
      </c>
      <c r="O49" s="365">
        <f t="shared" si="15"/>
        <v>2046.902</v>
      </c>
      <c r="P49" s="365">
        <f t="shared" si="15"/>
        <v>2046.9020000000021</v>
      </c>
      <c r="Q49" s="365">
        <f t="shared" si="15"/>
        <v>2046.9019999999978</v>
      </c>
      <c r="R49" s="365">
        <f t="shared" si="15"/>
        <v>2046.9019999999975</v>
      </c>
      <c r="S49" s="365">
        <f t="shared" si="15"/>
        <v>2046.902</v>
      </c>
      <c r="T49" s="365">
        <f t="shared" si="15"/>
        <v>2046.9019999999973</v>
      </c>
      <c r="U49" s="365">
        <f t="shared" si="15"/>
        <v>2066.7276288930298</v>
      </c>
      <c r="V49" s="365">
        <f t="shared" si="15"/>
        <v>2164.6441504424779</v>
      </c>
      <c r="W49" s="365">
        <f t="shared" si="15"/>
        <v>2164.6441504424802</v>
      </c>
      <c r="X49" s="365">
        <f t="shared" si="15"/>
        <v>2164.6441504424756</v>
      </c>
      <c r="Y49" s="255">
        <f>SUM(D49:X49)</f>
        <v>49937.116812563392</v>
      </c>
      <c r="Z49" s="251"/>
    </row>
    <row r="50" spans="2:26" x14ac:dyDescent="0.35">
      <c r="B50" s="381" t="s">
        <v>98</v>
      </c>
      <c r="C50" s="431" t="s">
        <v>32</v>
      </c>
      <c r="D50" s="365">
        <f>投资计划!F11</f>
        <v>8626.0247323429339</v>
      </c>
      <c r="E50" s="365">
        <f>投资计划!G11</f>
        <v>0</v>
      </c>
      <c r="F50" s="365">
        <v>0</v>
      </c>
      <c r="G50" s="365">
        <v>0</v>
      </c>
      <c r="H50" s="365">
        <v>0</v>
      </c>
      <c r="I50" s="365">
        <v>0</v>
      </c>
      <c r="J50" s="365">
        <v>0</v>
      </c>
      <c r="K50" s="365">
        <v>0</v>
      </c>
      <c r="L50" s="365">
        <v>0</v>
      </c>
      <c r="M50" s="365">
        <v>0</v>
      </c>
      <c r="N50" s="365">
        <v>0</v>
      </c>
      <c r="O50" s="365">
        <v>0</v>
      </c>
      <c r="P50" s="365">
        <v>0</v>
      </c>
      <c r="Q50" s="365">
        <v>0</v>
      </c>
      <c r="R50" s="365">
        <v>0</v>
      </c>
      <c r="S50" s="365">
        <v>0</v>
      </c>
      <c r="T50" s="365">
        <v>0</v>
      </c>
      <c r="U50" s="365">
        <v>0</v>
      </c>
      <c r="V50" s="365">
        <v>0</v>
      </c>
      <c r="W50" s="365">
        <v>0</v>
      </c>
      <c r="X50" s="365">
        <v>0</v>
      </c>
      <c r="Y50" s="255">
        <f>SUM(D50:X50)</f>
        <v>8626.0247323429339</v>
      </c>
      <c r="Z50" s="251"/>
    </row>
    <row r="51" spans="2:26" x14ac:dyDescent="0.35">
      <c r="B51" s="381" t="s">
        <v>99</v>
      </c>
      <c r="C51" s="431" t="s">
        <v>179</v>
      </c>
      <c r="D51" s="431"/>
      <c r="E51" s="365">
        <f>还贷!E10-财务计划!E22+财务计划!E28</f>
        <v>-88.488916540229866</v>
      </c>
      <c r="F51" s="365">
        <f>还贷!F10-财务计划!F22+财务计划!F28</f>
        <v>19.967311483740787</v>
      </c>
      <c r="G51" s="365">
        <f>还贷!G10-财务计划!G22+财务计划!G28</f>
        <v>-12.284272361298463</v>
      </c>
      <c r="H51" s="365">
        <f>还贷!H10-财务计划!H22+财务计划!H28</f>
        <v>3.1368248767357727</v>
      </c>
      <c r="I51" s="365">
        <f>还贷!I10-财务计划!I22+财务计划!I28</f>
        <v>19.706690448993868</v>
      </c>
      <c r="J51" s="365">
        <f>还贷!J10-财务计划!J22+财务计划!J28</f>
        <v>-275.83361907802464</v>
      </c>
      <c r="K51" s="365">
        <f>还贷!K10-财务计划!K22+财务计划!K28</f>
        <v>-270.3716603108187</v>
      </c>
      <c r="L51" s="365">
        <f>还贷!L10-财务计划!L22+财务计划!L28</f>
        <v>-264.1203980854134</v>
      </c>
      <c r="M51" s="365">
        <f>还贷!M10-财务计划!M22+财务计划!M28</f>
        <v>-257.01846399703754</v>
      </c>
      <c r="N51" s="365">
        <f>还贷!N10-财务计划!N22+财务计划!N28</f>
        <v>-249.00049546380251</v>
      </c>
      <c r="O51" s="365">
        <f>还贷!O10-财务计划!O22+财务计划!O28</f>
        <v>-435.82960609435031</v>
      </c>
      <c r="P51" s="365">
        <f>还贷!P10-财务计划!P22+财务计划!P28</f>
        <v>-434.28502022459725</v>
      </c>
      <c r="Q51" s="365">
        <f>还贷!Q10-财务计划!Q22+财务计划!Q28</f>
        <v>-431.9724564433418</v>
      </c>
      <c r="R51" s="365">
        <f>还贷!R10-财务计划!R22+财务计划!R28</f>
        <v>-428.82416907853985</v>
      </c>
      <c r="S51" s="365">
        <f>还贷!S10-财务计划!S22+财务计划!S28</f>
        <v>-424.76778292841482</v>
      </c>
      <c r="T51" s="365">
        <f>还贷!T10-财务计划!T22+财务计划!T28</f>
        <v>-621.76008757117233</v>
      </c>
      <c r="U51" s="365">
        <f>还贷!U10-财务计划!U22+财务计划!U28</f>
        <v>-672.59740605215484</v>
      </c>
      <c r="V51" s="365">
        <f>还贷!V10-财务计划!V22+财务计划!V28</f>
        <v>-819.35521907475777</v>
      </c>
      <c r="W51" s="365">
        <f>还贷!W10-财务计划!W22+财务计划!W28</f>
        <v>-854.99717110450729</v>
      </c>
      <c r="X51" s="365">
        <f>还贷!X10-还贷!X18+还贷!X20</f>
        <v>-892.18954804755776</v>
      </c>
      <c r="Y51" s="255">
        <f>SUM(E51:X51)</f>
        <v>-7390.8854656465483</v>
      </c>
      <c r="Z51" s="251"/>
    </row>
    <row r="52" spans="2:26" x14ac:dyDescent="0.35">
      <c r="B52" s="381" t="s">
        <v>180</v>
      </c>
      <c r="C52" s="431" t="s">
        <v>181</v>
      </c>
      <c r="D52" s="431"/>
      <c r="E52" s="365">
        <f>成本!E13</f>
        <v>1692.7228475392146</v>
      </c>
      <c r="F52" s="365">
        <f>成本!F13</f>
        <v>1687.7079886342826</v>
      </c>
      <c r="G52" s="365">
        <f>成本!G13</f>
        <v>1677.5409415983609</v>
      </c>
      <c r="H52" s="365">
        <f>成本!H13</f>
        <v>1668.321213479366</v>
      </c>
      <c r="I52" s="365">
        <f>成本!I13</f>
        <v>1657.9527170261472</v>
      </c>
      <c r="J52" s="365">
        <f>成本!J13</f>
        <v>1646.3620612365528</v>
      </c>
      <c r="K52" s="365">
        <f>成本!K13</f>
        <v>1647.1014715883853</v>
      </c>
      <c r="L52" s="365">
        <f>成本!L13</f>
        <v>1647.0515784820195</v>
      </c>
      <c r="M52" s="365">
        <f>成本!M13</f>
        <v>1646.1510135126841</v>
      </c>
      <c r="N52" s="365">
        <f>成本!N13</f>
        <v>1644.3344140984877</v>
      </c>
      <c r="O52" s="365">
        <f>成本!O13</f>
        <v>1641.5321848257904</v>
      </c>
      <c r="P52" s="365">
        <f>成本!P13</f>
        <v>1646.1889680750783</v>
      </c>
      <c r="Q52" s="365">
        <f>成本!Q13</f>
        <v>1650.0777734128574</v>
      </c>
      <c r="R52" s="365">
        <f>成本!R13</f>
        <v>1653.1308551670943</v>
      </c>
      <c r="S52" s="365">
        <f>成本!S13</f>
        <v>1655.2758381360106</v>
      </c>
      <c r="T52" s="365">
        <f>成本!T13</f>
        <v>1656.4354337564828</v>
      </c>
      <c r="U52" s="365">
        <f>成本!U13</f>
        <v>1683.4819975658288</v>
      </c>
      <c r="V52" s="365">
        <f>成本!V13</f>
        <v>1712.7399847290976</v>
      </c>
      <c r="W52" s="365">
        <f>成本!W13</f>
        <v>1748.3819367588496</v>
      </c>
      <c r="X52" s="365">
        <f>成本!X13</f>
        <v>1785.5743137018956</v>
      </c>
      <c r="Y52" s="255">
        <f>SUM(E52:X52)</f>
        <v>33448.065533324494</v>
      </c>
      <c r="Z52" s="251"/>
    </row>
    <row r="53" spans="2:26" x14ac:dyDescent="0.35">
      <c r="B53" s="381" t="s">
        <v>158</v>
      </c>
      <c r="C53" s="431" t="s">
        <v>63</v>
      </c>
      <c r="D53" s="431"/>
      <c r="E53" s="365">
        <f>成本!E22</f>
        <v>394.04806900101522</v>
      </c>
      <c r="F53" s="365">
        <f>成本!F22</f>
        <v>387.84669988197629</v>
      </c>
      <c r="G53" s="365">
        <f>成本!G22</f>
        <v>381.64533076293731</v>
      </c>
      <c r="H53" s="365">
        <f>成本!H22</f>
        <v>375.44396164389838</v>
      </c>
      <c r="I53" s="365">
        <f>成本!I22</f>
        <v>369.24259252485945</v>
      </c>
      <c r="J53" s="365">
        <f>成本!J22</f>
        <v>676.37355784147235</v>
      </c>
      <c r="K53" s="365">
        <f>成本!K22</f>
        <v>670.17218872243348</v>
      </c>
      <c r="L53" s="365">
        <f>成本!L22</f>
        <v>663.97081960339449</v>
      </c>
      <c r="M53" s="365">
        <f>成本!M22</f>
        <v>657.7694504843555</v>
      </c>
      <c r="N53" s="365">
        <f>成本!N22</f>
        <v>651.56808136531663</v>
      </c>
      <c r="O53" s="365">
        <f>成本!O22</f>
        <v>841.19942126855995</v>
      </c>
      <c r="P53" s="365">
        <f>成本!P22</f>
        <v>834.99805214952107</v>
      </c>
      <c r="Q53" s="365">
        <f>成本!Q22</f>
        <v>828.79668303048209</v>
      </c>
      <c r="R53" s="365">
        <f>成本!R22</f>
        <v>822.5953139114431</v>
      </c>
      <c r="S53" s="365">
        <f>成本!S22</f>
        <v>816.39394479240423</v>
      </c>
      <c r="T53" s="365">
        <f>成本!T22</f>
        <v>1012.2266538146868</v>
      </c>
      <c r="U53" s="365">
        <f>成本!U22</f>
        <v>1012.2266538146868</v>
      </c>
      <c r="V53" s="365">
        <f>成本!V22</f>
        <v>1012.2266538146868</v>
      </c>
      <c r="W53" s="365">
        <f>成本!W22</f>
        <v>1012.2266538146868</v>
      </c>
      <c r="X53" s="365">
        <f>成本!X22</f>
        <v>1012.2266538146868</v>
      </c>
      <c r="Y53" s="255">
        <f>SUM(E53:X53)</f>
        <v>14433.197436057504</v>
      </c>
      <c r="Z53" s="251"/>
    </row>
    <row r="54" spans="2:26" x14ac:dyDescent="0.35">
      <c r="B54" s="381"/>
      <c r="C54" s="431" t="s">
        <v>323</v>
      </c>
      <c r="D54" s="365"/>
      <c r="E54" s="365"/>
      <c r="F54" s="431">
        <f t="shared" ref="F54:X54" si="16">F16</f>
        <v>0</v>
      </c>
      <c r="G54" s="431">
        <f t="shared" si="16"/>
        <v>0</v>
      </c>
      <c r="H54" s="431">
        <f t="shared" si="16"/>
        <v>0</v>
      </c>
      <c r="I54" s="431">
        <f t="shared" si="16"/>
        <v>0</v>
      </c>
      <c r="J54" s="431">
        <f t="shared" si="16"/>
        <v>0</v>
      </c>
      <c r="K54" s="431">
        <f t="shared" si="16"/>
        <v>0</v>
      </c>
      <c r="L54" s="431">
        <f t="shared" si="16"/>
        <v>0</v>
      </c>
      <c r="M54" s="431">
        <f t="shared" si="16"/>
        <v>0</v>
      </c>
      <c r="N54" s="365">
        <f t="shared" si="16"/>
        <v>0</v>
      </c>
      <c r="O54" s="431">
        <f t="shared" si="16"/>
        <v>0</v>
      </c>
      <c r="P54" s="431">
        <f t="shared" si="16"/>
        <v>0</v>
      </c>
      <c r="Q54" s="431">
        <f t="shared" si="16"/>
        <v>0</v>
      </c>
      <c r="R54" s="431">
        <f t="shared" si="16"/>
        <v>0</v>
      </c>
      <c r="S54" s="431">
        <f t="shared" si="16"/>
        <v>0</v>
      </c>
      <c r="T54" s="431">
        <f t="shared" si="16"/>
        <v>0</v>
      </c>
      <c r="U54" s="431">
        <f t="shared" si="16"/>
        <v>0</v>
      </c>
      <c r="V54" s="431">
        <f t="shared" si="16"/>
        <v>0</v>
      </c>
      <c r="W54" s="431">
        <f t="shared" si="16"/>
        <v>0</v>
      </c>
      <c r="X54" s="431">
        <f t="shared" si="16"/>
        <v>0</v>
      </c>
      <c r="Y54" s="255"/>
      <c r="Z54" s="251"/>
    </row>
    <row r="55" spans="2:26" x14ac:dyDescent="0.35">
      <c r="B55" s="381" t="s">
        <v>159</v>
      </c>
      <c r="C55" s="431" t="s">
        <v>182</v>
      </c>
      <c r="D55" s="431"/>
      <c r="E55" s="365">
        <f>损益!G40</f>
        <v>0</v>
      </c>
      <c r="F55" s="365">
        <f>损益!H40</f>
        <v>0</v>
      </c>
      <c r="G55" s="365">
        <f>损益!I40</f>
        <v>0</v>
      </c>
      <c r="H55" s="365">
        <f>损益!J40</f>
        <v>0</v>
      </c>
      <c r="I55" s="365">
        <f>损益!K40</f>
        <v>0</v>
      </c>
      <c r="J55" s="365">
        <f>损益!L40</f>
        <v>0</v>
      </c>
      <c r="K55" s="365">
        <f>损益!M40</f>
        <v>0</v>
      </c>
      <c r="L55" s="365">
        <f>损益!N40</f>
        <v>0</v>
      </c>
      <c r="M55" s="365">
        <f>损益!O40</f>
        <v>0</v>
      </c>
      <c r="N55" s="365">
        <f>损益!P40</f>
        <v>0</v>
      </c>
      <c r="O55" s="365">
        <f>损益!Q40</f>
        <v>0</v>
      </c>
      <c r="P55" s="365">
        <f>损益!R40</f>
        <v>0</v>
      </c>
      <c r="Q55" s="365">
        <f>损益!S40</f>
        <v>0</v>
      </c>
      <c r="R55" s="365">
        <f>损益!T40</f>
        <v>0</v>
      </c>
      <c r="S55" s="365">
        <f>损益!U40</f>
        <v>0</v>
      </c>
      <c r="T55" s="365">
        <f>损益!V40</f>
        <v>0</v>
      </c>
      <c r="U55" s="365">
        <f>损益!W40</f>
        <v>39.651257786062672</v>
      </c>
      <c r="V55" s="365">
        <f>损益!X40</f>
        <v>235.48430088495579</v>
      </c>
      <c r="W55" s="365">
        <f>损益!Y40</f>
        <v>235.48430088495579</v>
      </c>
      <c r="X55" s="365">
        <f>损益!Z40</f>
        <v>235.48430088495579</v>
      </c>
      <c r="Y55" s="255">
        <f>SUM(E55:X55)</f>
        <v>746.10416044093006</v>
      </c>
      <c r="Z55" s="251"/>
    </row>
    <row r="56" spans="2:26" x14ac:dyDescent="0.35">
      <c r="B56" s="381" t="s">
        <v>160</v>
      </c>
      <c r="C56" s="431" t="s">
        <v>97</v>
      </c>
      <c r="D56" s="431"/>
      <c r="E56" s="365">
        <f>损益!G9</f>
        <v>0</v>
      </c>
      <c r="F56" s="365">
        <f>损益!H9</f>
        <v>0</v>
      </c>
      <c r="G56" s="365">
        <f>损益!I9</f>
        <v>0</v>
      </c>
      <c r="H56" s="365">
        <f>损益!J9</f>
        <v>0</v>
      </c>
      <c r="I56" s="365">
        <f>损益!K9</f>
        <v>0</v>
      </c>
      <c r="J56" s="365">
        <f>损益!L9</f>
        <v>0</v>
      </c>
      <c r="K56" s="365">
        <f>损益!M9</f>
        <v>0</v>
      </c>
      <c r="L56" s="365">
        <f>损益!N9</f>
        <v>0</v>
      </c>
      <c r="M56" s="365">
        <f>损益!O9</f>
        <v>0</v>
      </c>
      <c r="N56" s="365">
        <f>损益!P9</f>
        <v>0</v>
      </c>
      <c r="O56" s="365">
        <f>损益!Q9</f>
        <v>0</v>
      </c>
      <c r="P56" s="365">
        <f>损益!R9</f>
        <v>0</v>
      </c>
      <c r="Q56" s="365">
        <f>损益!S9</f>
        <v>0</v>
      </c>
      <c r="R56" s="365">
        <f>损益!T9</f>
        <v>0</v>
      </c>
      <c r="S56" s="365">
        <f>损益!U9</f>
        <v>0</v>
      </c>
      <c r="T56" s="365">
        <f>损益!V9</f>
        <v>0</v>
      </c>
      <c r="U56" s="365">
        <f>损益!W9</f>
        <v>3.9651257786062675</v>
      </c>
      <c r="V56" s="365">
        <f>损益!X9</f>
        <v>23.548430088495579</v>
      </c>
      <c r="W56" s="365">
        <f>损益!Y9</f>
        <v>23.548430088495579</v>
      </c>
      <c r="X56" s="365">
        <f>损益!Z9</f>
        <v>23.548430088495579</v>
      </c>
      <c r="Y56" s="255">
        <f>SUM(E56:X56)</f>
        <v>74.610416044093</v>
      </c>
      <c r="Z56" s="251"/>
    </row>
    <row r="57" spans="2:26" x14ac:dyDescent="0.35">
      <c r="B57" s="381" t="s">
        <v>183</v>
      </c>
      <c r="C57" s="431" t="s">
        <v>105</v>
      </c>
      <c r="D57" s="431"/>
      <c r="E57" s="365">
        <f>损益!G21</f>
        <v>0</v>
      </c>
      <c r="F57" s="365">
        <f>损益!H21</f>
        <v>0</v>
      </c>
      <c r="G57" s="365">
        <f>损益!I21</f>
        <v>0</v>
      </c>
      <c r="H57" s="365">
        <f>损益!J21</f>
        <v>0</v>
      </c>
      <c r="I57" s="365">
        <f>损益!K21</f>
        <v>0</v>
      </c>
      <c r="J57" s="365">
        <f>损益!L21</f>
        <v>0</v>
      </c>
      <c r="K57" s="365">
        <f>损益!M21</f>
        <v>0</v>
      </c>
      <c r="L57" s="365">
        <f>损益!N21</f>
        <v>0</v>
      </c>
      <c r="M57" s="365">
        <f>损益!O21</f>
        <v>0</v>
      </c>
      <c r="N57" s="365">
        <f>损益!P21</f>
        <v>0</v>
      </c>
      <c r="O57" s="365">
        <f>损益!Q21</f>
        <v>0</v>
      </c>
      <c r="P57" s="365">
        <f>损益!R21</f>
        <v>0</v>
      </c>
      <c r="Q57" s="365">
        <f>损益!S21</f>
        <v>0</v>
      </c>
      <c r="R57" s="365">
        <f>损益!T21</f>
        <v>0</v>
      </c>
      <c r="S57" s="365">
        <f>损益!U21</f>
        <v>0</v>
      </c>
      <c r="T57" s="365">
        <f>损益!V21</f>
        <v>0</v>
      </c>
      <c r="U57" s="365">
        <f>损益!W21</f>
        <v>0</v>
      </c>
      <c r="V57" s="365">
        <f>损益!X21</f>
        <v>0</v>
      </c>
      <c r="W57" s="365">
        <f>损益!Y21</f>
        <v>0</v>
      </c>
      <c r="X57" s="365">
        <f>损益!Z21</f>
        <v>0</v>
      </c>
      <c r="Y57" s="255">
        <f>SUM(E57:X57)</f>
        <v>0</v>
      </c>
      <c r="Z57" s="422">
        <f>Y57+Y55+Y56</f>
        <v>820.71457648502303</v>
      </c>
    </row>
    <row r="58" spans="2:26" x14ac:dyDescent="0.35">
      <c r="B58" s="252">
        <v>2.9</v>
      </c>
      <c r="C58" s="431" t="s">
        <v>318</v>
      </c>
      <c r="D58" s="431"/>
      <c r="E58" s="365">
        <f>E13</f>
        <v>0</v>
      </c>
      <c r="F58" s="365"/>
      <c r="G58" s="365"/>
      <c r="H58" s="365"/>
      <c r="I58" s="365"/>
      <c r="J58" s="365"/>
      <c r="K58" s="365"/>
      <c r="L58" s="365"/>
      <c r="M58" s="365"/>
      <c r="N58" s="365"/>
      <c r="O58" s="365"/>
      <c r="P58" s="365"/>
      <c r="Q58" s="365"/>
      <c r="R58" s="365"/>
      <c r="S58" s="365"/>
      <c r="T58" s="365"/>
      <c r="U58" s="365"/>
      <c r="V58" s="365"/>
      <c r="W58" s="365"/>
      <c r="X58" s="365"/>
      <c r="Y58" s="255"/>
      <c r="Z58" s="251"/>
    </row>
    <row r="59" spans="2:26" x14ac:dyDescent="0.35">
      <c r="B59" s="423">
        <v>3</v>
      </c>
      <c r="C59" s="432" t="s">
        <v>164</v>
      </c>
      <c r="D59" s="424">
        <f t="shared" ref="D59:X59" si="17">D42-D49</f>
        <v>-8626.0247323429339</v>
      </c>
      <c r="E59" s="424">
        <f t="shared" si="17"/>
        <v>0</v>
      </c>
      <c r="F59" s="424">
        <f t="shared" si="17"/>
        <v>0</v>
      </c>
      <c r="G59" s="424">
        <f t="shared" si="17"/>
        <v>0</v>
      </c>
      <c r="H59" s="424">
        <f t="shared" si="17"/>
        <v>0</v>
      </c>
      <c r="I59" s="424">
        <f t="shared" si="17"/>
        <v>0</v>
      </c>
      <c r="J59" s="424">
        <f t="shared" si="17"/>
        <v>0</v>
      </c>
      <c r="K59" s="424">
        <f t="shared" si="17"/>
        <v>0</v>
      </c>
      <c r="L59" s="424">
        <f t="shared" si="17"/>
        <v>0</v>
      </c>
      <c r="M59" s="424">
        <f t="shared" si="17"/>
        <v>-2.0463630789890885E-12</v>
      </c>
      <c r="N59" s="424">
        <f t="shared" si="17"/>
        <v>-1.8189894035458565E-12</v>
      </c>
      <c r="O59" s="424">
        <f t="shared" si="17"/>
        <v>0</v>
      </c>
      <c r="P59" s="424">
        <f t="shared" si="17"/>
        <v>-2.0463630789890885E-12</v>
      </c>
      <c r="Q59" s="424">
        <f t="shared" si="17"/>
        <v>2.2737367544323206E-12</v>
      </c>
      <c r="R59" s="424">
        <f t="shared" si="17"/>
        <v>2.5011104298755527E-12</v>
      </c>
      <c r="S59" s="424">
        <f t="shared" si="17"/>
        <v>0</v>
      </c>
      <c r="T59" s="424">
        <f t="shared" si="17"/>
        <v>2.7284841053187847E-12</v>
      </c>
      <c r="U59" s="424">
        <f t="shared" si="17"/>
        <v>0</v>
      </c>
      <c r="V59" s="424">
        <f t="shared" si="17"/>
        <v>0</v>
      </c>
      <c r="W59" s="424">
        <f t="shared" si="17"/>
        <v>0</v>
      </c>
      <c r="X59" s="424">
        <f t="shared" si="17"/>
        <v>1958.3270902228269</v>
      </c>
      <c r="Y59" s="255">
        <f>SUM(D59:X59)</f>
        <v>-6667.6976421201052</v>
      </c>
      <c r="Z59" s="251"/>
    </row>
    <row r="60" spans="2:26" ht="18" customHeight="1" thickBot="1" x14ac:dyDescent="0.4">
      <c r="B60" s="425" t="s">
        <v>165</v>
      </c>
      <c r="C60" s="433" t="s">
        <v>166</v>
      </c>
      <c r="D60" s="426">
        <f>D59</f>
        <v>-8626.0247323429339</v>
      </c>
      <c r="E60" s="426">
        <f t="shared" ref="E60:X60" si="18">D60+E59</f>
        <v>-8626.0247323429339</v>
      </c>
      <c r="F60" s="426">
        <f t="shared" si="18"/>
        <v>-8626.0247323429339</v>
      </c>
      <c r="G60" s="426">
        <f t="shared" si="18"/>
        <v>-8626.0247323429339</v>
      </c>
      <c r="H60" s="426">
        <f t="shared" si="18"/>
        <v>-8626.0247323429339</v>
      </c>
      <c r="I60" s="426">
        <f t="shared" si="18"/>
        <v>-8626.0247323429339</v>
      </c>
      <c r="J60" s="426">
        <f t="shared" si="18"/>
        <v>-8626.0247323429339</v>
      </c>
      <c r="K60" s="426">
        <f t="shared" si="18"/>
        <v>-8626.0247323429339</v>
      </c>
      <c r="L60" s="426">
        <f t="shared" si="18"/>
        <v>-8626.0247323429339</v>
      </c>
      <c r="M60" s="426">
        <f t="shared" si="18"/>
        <v>-8626.0247323429357</v>
      </c>
      <c r="N60" s="426">
        <f t="shared" si="18"/>
        <v>-8626.0247323429376</v>
      </c>
      <c r="O60" s="426">
        <f t="shared" si="18"/>
        <v>-8626.0247323429376</v>
      </c>
      <c r="P60" s="426">
        <f t="shared" si="18"/>
        <v>-8626.0247323429394</v>
      </c>
      <c r="Q60" s="426">
        <f t="shared" si="18"/>
        <v>-8626.0247323429376</v>
      </c>
      <c r="R60" s="426">
        <f t="shared" si="18"/>
        <v>-8626.0247323429357</v>
      </c>
      <c r="S60" s="426">
        <f t="shared" si="18"/>
        <v>-8626.0247323429357</v>
      </c>
      <c r="T60" s="426">
        <f t="shared" si="18"/>
        <v>-8626.0247323429321</v>
      </c>
      <c r="U60" s="426">
        <f t="shared" si="18"/>
        <v>-8626.0247323429321</v>
      </c>
      <c r="V60" s="426">
        <f t="shared" si="18"/>
        <v>-8626.0247323429321</v>
      </c>
      <c r="W60" s="426">
        <f t="shared" si="18"/>
        <v>-8626.0247323429321</v>
      </c>
      <c r="X60" s="426">
        <f t="shared" si="18"/>
        <v>-6667.6976421201052</v>
      </c>
      <c r="Y60" s="427" t="s">
        <v>95</v>
      </c>
      <c r="Z60" s="251"/>
    </row>
    <row r="61" spans="2:26" x14ac:dyDescent="0.3">
      <c r="B61" s="428"/>
      <c r="C61" s="434" t="s">
        <v>356</v>
      </c>
      <c r="D61" s="435"/>
      <c r="E61" s="436"/>
      <c r="F61" s="436"/>
      <c r="G61" s="428"/>
      <c r="H61" s="437">
        <f>IRR(D59:X59)</f>
        <v>-7.1453351834737666E-2</v>
      </c>
      <c r="I61" s="428"/>
      <c r="J61" s="428"/>
      <c r="K61" s="428"/>
      <c r="L61" s="428"/>
      <c r="M61" s="428"/>
      <c r="N61" s="428"/>
      <c r="O61" s="428"/>
      <c r="P61" s="428"/>
      <c r="Q61" s="428"/>
      <c r="R61" s="428"/>
      <c r="S61" s="428"/>
      <c r="T61" s="428"/>
      <c r="U61" s="428"/>
      <c r="V61" s="428"/>
      <c r="W61" s="428"/>
      <c r="X61" s="428"/>
      <c r="Y61" s="428"/>
      <c r="Z61" s="251"/>
    </row>
    <row r="62" spans="2:26" x14ac:dyDescent="0.35">
      <c r="B62" s="429"/>
      <c r="C62" s="438" t="s">
        <v>357</v>
      </c>
      <c r="D62" s="439"/>
      <c r="E62" s="440"/>
      <c r="F62" s="441" t="s">
        <v>184</v>
      </c>
      <c r="G62" s="442">
        <v>0.08</v>
      </c>
      <c r="H62" s="430">
        <f>NPV(G62,D59:X59)</f>
        <v>-7598.0270052081723</v>
      </c>
      <c r="I62" s="429"/>
      <c r="J62" s="429"/>
      <c r="K62" s="429"/>
      <c r="L62" s="429"/>
      <c r="M62" s="429"/>
      <c r="N62" s="429"/>
      <c r="O62" s="429"/>
      <c r="P62" s="429"/>
      <c r="Q62" s="429"/>
      <c r="R62" s="429"/>
      <c r="S62" s="429"/>
      <c r="T62" s="429"/>
      <c r="U62" s="429"/>
      <c r="V62" s="429"/>
      <c r="W62" s="429"/>
      <c r="X62" s="429"/>
      <c r="Y62" s="429"/>
      <c r="Z62" s="251"/>
    </row>
    <row r="63" spans="2:26" x14ac:dyDescent="0.35">
      <c r="B63" s="84"/>
      <c r="C63" s="209"/>
      <c r="D63" s="85"/>
      <c r="E63" s="86"/>
      <c r="F63" s="87"/>
      <c r="G63" s="103"/>
      <c r="H63" s="104"/>
      <c r="I63" s="84"/>
      <c r="J63" s="84"/>
      <c r="K63" s="84"/>
      <c r="L63" s="84"/>
      <c r="M63" s="84"/>
      <c r="N63" s="84"/>
      <c r="O63" s="84"/>
      <c r="P63" s="84"/>
      <c r="Q63" s="84"/>
      <c r="R63" s="84"/>
      <c r="S63" s="84"/>
      <c r="T63" s="84"/>
      <c r="U63" s="84"/>
      <c r="V63" s="84"/>
      <c r="W63" s="84"/>
      <c r="X63" s="84"/>
      <c r="Y63" s="84"/>
    </row>
    <row r="64" spans="2:26" x14ac:dyDescent="0.3">
      <c r="B64" s="84"/>
      <c r="C64" s="209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4"/>
    </row>
    <row r="65" spans="2:25" x14ac:dyDescent="0.35">
      <c r="B65" s="84"/>
      <c r="C65" s="124"/>
      <c r="D65" s="85"/>
      <c r="E65" s="86"/>
      <c r="F65" s="87"/>
      <c r="G65" s="103"/>
      <c r="H65" s="104"/>
      <c r="I65" s="84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4"/>
      <c r="X65" s="84"/>
      <c r="Y65" s="84"/>
    </row>
    <row r="66" spans="2:25" x14ac:dyDescent="0.3">
      <c r="B66" s="84"/>
      <c r="C66" s="124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4"/>
    </row>
    <row r="67" spans="2:25" x14ac:dyDescent="0.3">
      <c r="C67" s="133"/>
      <c r="D67" s="239"/>
    </row>
    <row r="71" spans="2:25" x14ac:dyDescent="0.3">
      <c r="B71" s="84"/>
      <c r="C71" s="211"/>
      <c r="D71" s="88"/>
      <c r="E71" s="84"/>
      <c r="F71" s="84"/>
      <c r="G71" s="84"/>
      <c r="H71" s="84"/>
      <c r="I71" s="84"/>
      <c r="J71" s="84"/>
      <c r="K71" s="84"/>
      <c r="L71" s="84"/>
      <c r="M71" s="84"/>
      <c r="N71" s="84"/>
      <c r="O71" s="84"/>
      <c r="P71" s="84"/>
      <c r="Q71" s="84"/>
      <c r="R71" s="84"/>
      <c r="S71" s="84"/>
      <c r="T71" s="84"/>
      <c r="U71" s="84"/>
      <c r="V71" s="84"/>
      <c r="W71" s="84"/>
      <c r="X71" s="84"/>
      <c r="Y71" s="84"/>
    </row>
    <row r="72" spans="2:25" x14ac:dyDescent="0.3">
      <c r="B72" s="84"/>
      <c r="C72" s="211"/>
      <c r="D72" s="88"/>
      <c r="E72" s="84"/>
      <c r="F72" s="84"/>
      <c r="G72" s="84"/>
      <c r="H72" s="84"/>
      <c r="I72" s="84"/>
      <c r="J72" s="84"/>
      <c r="K72" s="84"/>
      <c r="L72" s="84"/>
      <c r="M72" s="84"/>
      <c r="N72" s="84"/>
      <c r="O72" s="84"/>
      <c r="P72" s="84"/>
      <c r="Q72" s="84"/>
      <c r="R72" s="84"/>
      <c r="S72" s="84"/>
      <c r="T72" s="84"/>
      <c r="U72" s="84"/>
      <c r="V72" s="84"/>
      <c r="W72" s="84"/>
      <c r="X72" s="84"/>
      <c r="Y72" s="84"/>
    </row>
    <row r="73" spans="2:25" x14ac:dyDescent="0.3">
      <c r="B73" s="84"/>
      <c r="C73" s="211"/>
      <c r="D73" s="88"/>
      <c r="E73" s="84"/>
      <c r="F73" s="84"/>
      <c r="G73" s="84"/>
      <c r="H73" s="84"/>
      <c r="I73" s="84"/>
      <c r="J73" s="84"/>
      <c r="K73" s="84"/>
      <c r="L73" s="84"/>
      <c r="M73" s="84"/>
      <c r="N73" s="84"/>
      <c r="O73" s="84"/>
      <c r="P73" s="84"/>
      <c r="Q73" s="84"/>
      <c r="R73" s="84"/>
      <c r="S73" s="84"/>
      <c r="T73" s="84"/>
      <c r="U73" s="84"/>
      <c r="V73" s="84"/>
      <c r="W73" s="84"/>
      <c r="X73" s="84"/>
      <c r="Y73" s="84"/>
    </row>
    <row r="74" spans="2:25" x14ac:dyDescent="0.3">
      <c r="B74" s="84"/>
      <c r="C74" s="211"/>
      <c r="D74" s="88"/>
      <c r="E74" s="84"/>
      <c r="F74" s="84"/>
      <c r="G74" s="84"/>
      <c r="H74" s="84"/>
      <c r="I74" s="84"/>
      <c r="J74" s="84"/>
      <c r="K74" s="84"/>
      <c r="L74" s="84"/>
      <c r="M74" s="84"/>
      <c r="N74" s="84"/>
      <c r="O74" s="84"/>
      <c r="P74" s="84"/>
      <c r="Q74" s="84"/>
      <c r="R74" s="84"/>
      <c r="S74" s="84"/>
      <c r="T74" s="84"/>
      <c r="U74" s="84"/>
      <c r="V74" s="84"/>
      <c r="W74" s="84"/>
      <c r="X74" s="84"/>
      <c r="Y74" s="84"/>
    </row>
    <row r="75" spans="2:25" x14ac:dyDescent="0.3">
      <c r="B75" s="84"/>
      <c r="C75" s="211"/>
      <c r="D75" s="88"/>
      <c r="E75" s="84"/>
      <c r="F75" s="84"/>
      <c r="G75" s="84"/>
      <c r="H75" s="84"/>
      <c r="I75" s="84"/>
      <c r="J75" s="84"/>
      <c r="K75" s="84"/>
      <c r="L75" s="84"/>
      <c r="M75" s="84"/>
      <c r="N75" s="84"/>
      <c r="O75" s="84"/>
      <c r="P75" s="84"/>
      <c r="Q75" s="84"/>
      <c r="R75" s="84"/>
      <c r="S75" s="84"/>
      <c r="T75" s="84"/>
      <c r="U75" s="84"/>
      <c r="V75" s="84"/>
      <c r="W75" s="84"/>
      <c r="X75" s="84"/>
      <c r="Y75" s="84"/>
    </row>
    <row r="76" spans="2:25" x14ac:dyDescent="0.3">
      <c r="B76" s="84"/>
      <c r="C76" s="211"/>
      <c r="D76" s="88"/>
      <c r="E76" s="84"/>
      <c r="F76" s="84"/>
      <c r="G76" s="84"/>
      <c r="H76" s="84"/>
      <c r="I76" s="84"/>
      <c r="J76" s="84"/>
      <c r="K76" s="84"/>
      <c r="L76" s="84"/>
      <c r="M76" s="84"/>
      <c r="N76" s="84"/>
      <c r="O76" s="84"/>
      <c r="P76" s="84"/>
      <c r="Q76" s="84"/>
      <c r="R76" s="84"/>
      <c r="S76" s="84"/>
      <c r="T76" s="84"/>
      <c r="U76" s="84"/>
      <c r="V76" s="84"/>
      <c r="W76" s="84"/>
      <c r="X76" s="84"/>
      <c r="Y76" s="84"/>
    </row>
    <row r="77" spans="2:25" x14ac:dyDescent="0.3">
      <c r="B77" s="84"/>
      <c r="C77" s="211"/>
      <c r="D77" s="88"/>
      <c r="E77" s="84"/>
      <c r="F77" s="84"/>
      <c r="G77" s="84"/>
      <c r="H77" s="84"/>
      <c r="I77" s="84"/>
      <c r="J77" s="84"/>
      <c r="K77" s="84"/>
      <c r="L77" s="84"/>
      <c r="M77" s="84"/>
      <c r="N77" s="84"/>
      <c r="O77" s="84"/>
      <c r="P77" s="84"/>
      <c r="Q77" s="84"/>
      <c r="R77" s="84"/>
      <c r="S77" s="84"/>
      <c r="T77" s="84"/>
      <c r="U77" s="84"/>
      <c r="V77" s="84"/>
      <c r="W77" s="84"/>
      <c r="X77" s="84"/>
      <c r="Y77" s="84"/>
    </row>
    <row r="78" spans="2:25" x14ac:dyDescent="0.3">
      <c r="B78" s="84"/>
      <c r="C78" s="211"/>
      <c r="D78" s="88"/>
      <c r="E78" s="84"/>
      <c r="F78" s="84"/>
      <c r="G78" s="84"/>
      <c r="H78" s="84"/>
      <c r="I78" s="84"/>
      <c r="J78" s="84"/>
      <c r="K78" s="84"/>
      <c r="L78" s="84"/>
      <c r="M78" s="84"/>
      <c r="N78" s="84"/>
      <c r="O78" s="84"/>
      <c r="P78" s="84"/>
      <c r="Q78" s="84"/>
      <c r="R78" s="84"/>
      <c r="S78" s="84"/>
      <c r="T78" s="84"/>
      <c r="U78" s="84"/>
      <c r="V78" s="84"/>
      <c r="W78" s="84"/>
      <c r="X78" s="84"/>
      <c r="Y78" s="84"/>
    </row>
    <row r="79" spans="2:25" x14ac:dyDescent="0.3">
      <c r="B79" s="84"/>
      <c r="C79" s="211"/>
      <c r="D79" s="88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84"/>
      <c r="V79" s="84"/>
      <c r="W79" s="84"/>
      <c r="X79" s="84"/>
      <c r="Y79" s="84"/>
    </row>
    <row r="80" spans="2:25" ht="17.149999999999999" customHeight="1" x14ac:dyDescent="0.3">
      <c r="B80" s="510" t="s">
        <v>185</v>
      </c>
      <c r="C80" s="510"/>
      <c r="D80" s="510"/>
      <c r="E80" s="510"/>
      <c r="F80" s="510"/>
      <c r="G80" s="510"/>
      <c r="H80" s="510"/>
      <c r="I80" s="510"/>
      <c r="J80" s="510"/>
      <c r="K80" s="510"/>
      <c r="L80" s="510"/>
      <c r="M80" s="510"/>
      <c r="N80" s="510"/>
      <c r="O80" s="510"/>
      <c r="P80" s="510"/>
      <c r="Q80" s="510"/>
      <c r="R80" s="510"/>
      <c r="S80" s="510"/>
      <c r="T80" s="510"/>
      <c r="U80" s="510"/>
      <c r="V80" s="510"/>
      <c r="W80" s="510"/>
      <c r="X80" s="510"/>
      <c r="Y80" s="510"/>
    </row>
    <row r="81" spans="2:25" ht="14.6" thickBot="1" x14ac:dyDescent="0.35"/>
    <row r="82" spans="2:25" x14ac:dyDescent="0.3">
      <c r="B82" s="497" t="s">
        <v>1</v>
      </c>
      <c r="C82" s="499" t="s">
        <v>64</v>
      </c>
      <c r="D82" s="339"/>
      <c r="E82" s="506" t="s">
        <v>125</v>
      </c>
      <c r="F82" s="506"/>
      <c r="G82" s="506"/>
      <c r="H82" s="499" t="s">
        <v>91</v>
      </c>
      <c r="I82" s="506"/>
      <c r="J82" s="506"/>
      <c r="K82" s="506"/>
      <c r="L82" s="506"/>
      <c r="M82" s="506"/>
      <c r="N82" s="506"/>
      <c r="O82" s="506"/>
      <c r="P82" s="506"/>
      <c r="Q82" s="506"/>
      <c r="R82" s="506"/>
      <c r="S82" s="506"/>
      <c r="T82" s="506"/>
      <c r="U82" s="506"/>
      <c r="V82" s="506"/>
      <c r="W82" s="506"/>
      <c r="X82" s="506"/>
      <c r="Y82" s="501" t="s">
        <v>68</v>
      </c>
    </row>
    <row r="83" spans="2:25" x14ac:dyDescent="0.3">
      <c r="B83" s="498"/>
      <c r="C83" s="500"/>
      <c r="D83" s="89">
        <f t="shared" ref="D83:X83" si="19">D40</f>
        <v>1</v>
      </c>
      <c r="E83" s="89">
        <f t="shared" si="19"/>
        <v>1</v>
      </c>
      <c r="F83" s="89">
        <f t="shared" si="19"/>
        <v>2</v>
      </c>
      <c r="G83" s="89">
        <f t="shared" si="19"/>
        <v>3</v>
      </c>
      <c r="H83" s="89">
        <f t="shared" si="19"/>
        <v>4</v>
      </c>
      <c r="I83" s="89">
        <f t="shared" si="19"/>
        <v>5</v>
      </c>
      <c r="J83" s="89">
        <f t="shared" si="19"/>
        <v>6</v>
      </c>
      <c r="K83" s="89">
        <f t="shared" si="19"/>
        <v>7</v>
      </c>
      <c r="L83" s="89">
        <f t="shared" si="19"/>
        <v>8</v>
      </c>
      <c r="M83" s="89">
        <f t="shared" si="19"/>
        <v>9</v>
      </c>
      <c r="N83" s="89">
        <f t="shared" si="19"/>
        <v>10</v>
      </c>
      <c r="O83" s="89">
        <f t="shared" si="19"/>
        <v>11</v>
      </c>
      <c r="P83" s="89">
        <f t="shared" si="19"/>
        <v>12</v>
      </c>
      <c r="Q83" s="89">
        <f t="shared" si="19"/>
        <v>13</v>
      </c>
      <c r="R83" s="89">
        <f t="shared" si="19"/>
        <v>14</v>
      </c>
      <c r="S83" s="89">
        <f t="shared" si="19"/>
        <v>15</v>
      </c>
      <c r="T83" s="89">
        <f t="shared" si="19"/>
        <v>16</v>
      </c>
      <c r="U83" s="89">
        <f t="shared" si="19"/>
        <v>17</v>
      </c>
      <c r="V83" s="89">
        <f t="shared" si="19"/>
        <v>18</v>
      </c>
      <c r="W83" s="89">
        <f t="shared" si="19"/>
        <v>19</v>
      </c>
      <c r="X83" s="89">
        <f t="shared" si="19"/>
        <v>20</v>
      </c>
      <c r="Y83" s="502"/>
    </row>
    <row r="84" spans="2:25" x14ac:dyDescent="0.35">
      <c r="B84" s="90">
        <v>1</v>
      </c>
      <c r="C84" s="91" t="s">
        <v>148</v>
      </c>
      <c r="D84" s="91"/>
      <c r="E84" s="92">
        <f>E85+E86</f>
        <v>0</v>
      </c>
      <c r="F84" s="92">
        <f>F85+F86</f>
        <v>0</v>
      </c>
      <c r="G84" s="92">
        <f t="shared" ref="G84:X84" si="20">G85+G86</f>
        <v>0</v>
      </c>
      <c r="H84" s="92">
        <f t="shared" si="20"/>
        <v>0</v>
      </c>
      <c r="I84" s="92">
        <f t="shared" si="20"/>
        <v>0</v>
      </c>
      <c r="J84" s="92">
        <f t="shared" si="20"/>
        <v>0</v>
      </c>
      <c r="K84" s="92">
        <f t="shared" si="20"/>
        <v>0</v>
      </c>
      <c r="L84" s="92">
        <f t="shared" si="20"/>
        <v>0</v>
      </c>
      <c r="M84" s="92">
        <f t="shared" si="20"/>
        <v>0</v>
      </c>
      <c r="N84" s="92">
        <f t="shared" si="20"/>
        <v>0</v>
      </c>
      <c r="O84" s="92">
        <f t="shared" si="20"/>
        <v>0</v>
      </c>
      <c r="P84" s="92">
        <f t="shared" si="20"/>
        <v>0</v>
      </c>
      <c r="Q84" s="92">
        <f t="shared" si="20"/>
        <v>0</v>
      </c>
      <c r="R84" s="92">
        <f t="shared" si="20"/>
        <v>0</v>
      </c>
      <c r="S84" s="92">
        <f t="shared" si="20"/>
        <v>0</v>
      </c>
      <c r="T84" s="92">
        <f t="shared" si="20"/>
        <v>0</v>
      </c>
      <c r="U84" s="92">
        <f t="shared" si="20"/>
        <v>0</v>
      </c>
      <c r="V84" s="92">
        <f t="shared" si="20"/>
        <v>0</v>
      </c>
      <c r="W84" s="92">
        <f t="shared" si="20"/>
        <v>0</v>
      </c>
      <c r="X84" s="92">
        <f t="shared" si="20"/>
        <v>1958.3270902228246</v>
      </c>
      <c r="Y84" s="109" t="s">
        <v>95</v>
      </c>
    </row>
    <row r="85" spans="2:25" x14ac:dyDescent="0.35">
      <c r="B85" s="110">
        <v>1.1000000000000001</v>
      </c>
      <c r="C85" s="111" t="s">
        <v>186</v>
      </c>
      <c r="D85" s="111"/>
      <c r="E85" s="112">
        <f>损益!G32</f>
        <v>0</v>
      </c>
      <c r="F85" s="112">
        <f>损益!H32</f>
        <v>0</v>
      </c>
      <c r="G85" s="112">
        <f>损益!I32</f>
        <v>0</v>
      </c>
      <c r="H85" s="112">
        <f>损益!J32</f>
        <v>0</v>
      </c>
      <c r="I85" s="112">
        <f>损益!K32</f>
        <v>0</v>
      </c>
      <c r="J85" s="112">
        <f>损益!L32</f>
        <v>0</v>
      </c>
      <c r="K85" s="112">
        <f>损益!M32</f>
        <v>0</v>
      </c>
      <c r="L85" s="112">
        <f>损益!N32</f>
        <v>0</v>
      </c>
      <c r="M85" s="112">
        <f>损益!O32</f>
        <v>0</v>
      </c>
      <c r="N85" s="112">
        <f>损益!P32</f>
        <v>0</v>
      </c>
      <c r="O85" s="112">
        <f>损益!Q32</f>
        <v>0</v>
      </c>
      <c r="P85" s="112">
        <f>损益!R32</f>
        <v>0</v>
      </c>
      <c r="Q85" s="112">
        <f>损益!S32</f>
        <v>0</v>
      </c>
      <c r="R85" s="112">
        <f>损益!T32</f>
        <v>0</v>
      </c>
      <c r="S85" s="112">
        <f>损益!U32</f>
        <v>0</v>
      </c>
      <c r="T85" s="112">
        <f>损益!V32</f>
        <v>0</v>
      </c>
      <c r="U85" s="112">
        <f>损益!W32</f>
        <v>0</v>
      </c>
      <c r="V85" s="112">
        <f>损益!X32</f>
        <v>0</v>
      </c>
      <c r="W85" s="112">
        <f>损益!Y32</f>
        <v>0</v>
      </c>
      <c r="X85" s="112">
        <f>损益!Z32</f>
        <v>0</v>
      </c>
      <c r="Y85" s="106">
        <f>SUM(E85:X85)</f>
        <v>0</v>
      </c>
    </row>
    <row r="86" spans="2:25" x14ac:dyDescent="0.3">
      <c r="B86" s="113">
        <v>1.2</v>
      </c>
      <c r="C86" s="111" t="s">
        <v>187</v>
      </c>
      <c r="D86" s="111"/>
      <c r="E86" s="61"/>
      <c r="F86" s="61">
        <f>F87+F88+F89+F90</f>
        <v>0</v>
      </c>
      <c r="G86" s="61">
        <f t="shared" ref="G86:X86" si="21">G87+G88+G89+G90</f>
        <v>0</v>
      </c>
      <c r="H86" s="61">
        <f t="shared" si="21"/>
        <v>0</v>
      </c>
      <c r="I86" s="61">
        <f t="shared" si="21"/>
        <v>0</v>
      </c>
      <c r="J86" s="61">
        <f t="shared" si="21"/>
        <v>0</v>
      </c>
      <c r="K86" s="61">
        <f t="shared" si="21"/>
        <v>0</v>
      </c>
      <c r="L86" s="61">
        <f t="shared" si="21"/>
        <v>0</v>
      </c>
      <c r="M86" s="61">
        <f t="shared" si="21"/>
        <v>0</v>
      </c>
      <c r="N86" s="61">
        <f t="shared" si="21"/>
        <v>0</v>
      </c>
      <c r="O86" s="61">
        <f t="shared" si="21"/>
        <v>0</v>
      </c>
      <c r="P86" s="61">
        <f t="shared" si="21"/>
        <v>0</v>
      </c>
      <c r="Q86" s="61">
        <f t="shared" si="21"/>
        <v>0</v>
      </c>
      <c r="R86" s="61">
        <f t="shared" si="21"/>
        <v>0</v>
      </c>
      <c r="S86" s="61">
        <f t="shared" si="21"/>
        <v>0</v>
      </c>
      <c r="T86" s="61">
        <f t="shared" si="21"/>
        <v>0</v>
      </c>
      <c r="U86" s="61">
        <f t="shared" si="21"/>
        <v>0</v>
      </c>
      <c r="V86" s="61">
        <f t="shared" si="21"/>
        <v>0</v>
      </c>
      <c r="W86" s="61">
        <f t="shared" si="21"/>
        <v>0</v>
      </c>
      <c r="X86" s="61">
        <f t="shared" si="21"/>
        <v>1958.3270902228246</v>
      </c>
      <c r="Y86" s="120"/>
    </row>
    <row r="87" spans="2:25" ht="24.9" x14ac:dyDescent="0.3">
      <c r="B87" s="114" t="s">
        <v>188</v>
      </c>
      <c r="C87" s="111" t="s">
        <v>321</v>
      </c>
      <c r="D87" s="11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112">
        <f>X9</f>
        <v>1958.3270902228246</v>
      </c>
      <c r="Y87" s="120"/>
    </row>
    <row r="88" spans="2:25" ht="24.9" x14ac:dyDescent="0.3">
      <c r="B88" s="114" t="s">
        <v>189</v>
      </c>
      <c r="C88" s="111" t="s">
        <v>322</v>
      </c>
      <c r="D88" s="11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116">
        <f>财务计划!X34</f>
        <v>0</v>
      </c>
      <c r="Y88" s="120"/>
    </row>
    <row r="89" spans="2:25" x14ac:dyDescent="0.3">
      <c r="B89" s="114" t="s">
        <v>190</v>
      </c>
      <c r="C89" s="111" t="s">
        <v>191</v>
      </c>
      <c r="D89" s="11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115"/>
      <c r="Y89" s="120"/>
    </row>
    <row r="90" spans="2:25" x14ac:dyDescent="0.3">
      <c r="B90" s="114" t="s">
        <v>192</v>
      </c>
      <c r="C90" s="111" t="s">
        <v>193</v>
      </c>
      <c r="D90" s="11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115"/>
      <c r="Y90" s="120"/>
    </row>
    <row r="91" spans="2:25" x14ac:dyDescent="0.3">
      <c r="B91" s="90">
        <v>2</v>
      </c>
      <c r="C91" s="111" t="s">
        <v>155</v>
      </c>
      <c r="D91" s="115">
        <f>D92+D93</f>
        <v>8626.0247323429339</v>
      </c>
      <c r="E91" s="115">
        <f>E92+E93</f>
        <v>0</v>
      </c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120"/>
    </row>
    <row r="92" spans="2:25" x14ac:dyDescent="0.3">
      <c r="B92" s="113">
        <v>2.1</v>
      </c>
      <c r="C92" s="111" t="s">
        <v>194</v>
      </c>
      <c r="D92" s="111">
        <f>D50</f>
        <v>8626.0247323429339</v>
      </c>
      <c r="E92" s="111">
        <v>0</v>
      </c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120"/>
    </row>
    <row r="93" spans="2:25" x14ac:dyDescent="0.3">
      <c r="B93" s="113">
        <v>2.2000000000000002</v>
      </c>
      <c r="C93" s="111" t="s">
        <v>195</v>
      </c>
      <c r="D93" s="111"/>
      <c r="E93" s="115">
        <f>投资计划!G13</f>
        <v>0</v>
      </c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120"/>
    </row>
    <row r="94" spans="2:25" x14ac:dyDescent="0.35">
      <c r="B94" s="90">
        <v>3</v>
      </c>
      <c r="C94" s="111" t="s">
        <v>164</v>
      </c>
      <c r="D94" s="116">
        <f>D84-D91</f>
        <v>-8626.0247323429339</v>
      </c>
      <c r="E94" s="116">
        <f>E84-E91</f>
        <v>0</v>
      </c>
      <c r="F94" s="116">
        <f t="shared" ref="F94:X94" si="22">F84-F91</f>
        <v>0</v>
      </c>
      <c r="G94" s="116">
        <f t="shared" si="22"/>
        <v>0</v>
      </c>
      <c r="H94" s="116">
        <f t="shared" si="22"/>
        <v>0</v>
      </c>
      <c r="I94" s="116">
        <f t="shared" si="22"/>
        <v>0</v>
      </c>
      <c r="J94" s="116">
        <f t="shared" si="22"/>
        <v>0</v>
      </c>
      <c r="K94" s="116">
        <f t="shared" si="22"/>
        <v>0</v>
      </c>
      <c r="L94" s="116">
        <f t="shared" si="22"/>
        <v>0</v>
      </c>
      <c r="M94" s="116">
        <f t="shared" si="22"/>
        <v>0</v>
      </c>
      <c r="N94" s="116">
        <f t="shared" si="22"/>
        <v>0</v>
      </c>
      <c r="O94" s="116">
        <f t="shared" si="22"/>
        <v>0</v>
      </c>
      <c r="P94" s="116">
        <f t="shared" si="22"/>
        <v>0</v>
      </c>
      <c r="Q94" s="116">
        <f t="shared" si="22"/>
        <v>0</v>
      </c>
      <c r="R94" s="116">
        <f t="shared" si="22"/>
        <v>0</v>
      </c>
      <c r="S94" s="116">
        <f t="shared" si="22"/>
        <v>0</v>
      </c>
      <c r="T94" s="116">
        <f t="shared" si="22"/>
        <v>0</v>
      </c>
      <c r="U94" s="116">
        <f t="shared" si="22"/>
        <v>0</v>
      </c>
      <c r="V94" s="116">
        <f t="shared" si="22"/>
        <v>0</v>
      </c>
      <c r="W94" s="116">
        <f t="shared" si="22"/>
        <v>0</v>
      </c>
      <c r="X94" s="116">
        <f t="shared" si="22"/>
        <v>1958.3270902228246</v>
      </c>
      <c r="Y94" s="106"/>
    </row>
    <row r="95" spans="2:25" ht="14.6" thickBot="1" x14ac:dyDescent="0.4">
      <c r="B95" s="117">
        <v>4</v>
      </c>
      <c r="C95" s="118" t="s">
        <v>196</v>
      </c>
      <c r="D95" s="119">
        <f>D94</f>
        <v>-8626.0247323429339</v>
      </c>
      <c r="E95" s="119">
        <f>E94+D95</f>
        <v>-8626.0247323429339</v>
      </c>
      <c r="F95" s="119">
        <f>F94+E95</f>
        <v>-8626.0247323429339</v>
      </c>
      <c r="G95" s="119">
        <f t="shared" ref="G95:X95" si="23">G94+F95</f>
        <v>-8626.0247323429339</v>
      </c>
      <c r="H95" s="119">
        <f t="shared" si="23"/>
        <v>-8626.0247323429339</v>
      </c>
      <c r="I95" s="119">
        <f t="shared" si="23"/>
        <v>-8626.0247323429339</v>
      </c>
      <c r="J95" s="119">
        <f t="shared" si="23"/>
        <v>-8626.0247323429339</v>
      </c>
      <c r="K95" s="119">
        <f t="shared" si="23"/>
        <v>-8626.0247323429339</v>
      </c>
      <c r="L95" s="119">
        <f t="shared" si="23"/>
        <v>-8626.0247323429339</v>
      </c>
      <c r="M95" s="119">
        <f t="shared" si="23"/>
        <v>-8626.0247323429339</v>
      </c>
      <c r="N95" s="119">
        <f t="shared" si="23"/>
        <v>-8626.0247323429339</v>
      </c>
      <c r="O95" s="119">
        <f t="shared" si="23"/>
        <v>-8626.0247323429339</v>
      </c>
      <c r="P95" s="119">
        <f t="shared" si="23"/>
        <v>-8626.0247323429339</v>
      </c>
      <c r="Q95" s="119">
        <f t="shared" si="23"/>
        <v>-8626.0247323429339</v>
      </c>
      <c r="R95" s="119">
        <f t="shared" si="23"/>
        <v>-8626.0247323429339</v>
      </c>
      <c r="S95" s="119">
        <f t="shared" si="23"/>
        <v>-8626.0247323429339</v>
      </c>
      <c r="T95" s="119">
        <f t="shared" si="23"/>
        <v>-8626.0247323429339</v>
      </c>
      <c r="U95" s="119">
        <f t="shared" si="23"/>
        <v>-8626.0247323429339</v>
      </c>
      <c r="V95" s="119">
        <f t="shared" si="23"/>
        <v>-8626.0247323429339</v>
      </c>
      <c r="W95" s="119">
        <f t="shared" si="23"/>
        <v>-8626.0247323429339</v>
      </c>
      <c r="X95" s="119">
        <f t="shared" si="23"/>
        <v>-6667.6976421201089</v>
      </c>
      <c r="Y95" s="106"/>
    </row>
    <row r="97" spans="3:8" x14ac:dyDescent="0.3">
      <c r="C97" s="209" t="s">
        <v>197</v>
      </c>
      <c r="D97" s="85"/>
      <c r="E97" s="86"/>
      <c r="F97" s="86"/>
      <c r="H97" s="240">
        <f>IRR(D94:X94)</f>
        <v>-7.1453351834737888E-2</v>
      </c>
    </row>
    <row r="98" spans="3:8" x14ac:dyDescent="0.35">
      <c r="C98" s="209" t="s">
        <v>198</v>
      </c>
      <c r="D98" s="85"/>
      <c r="E98" s="86"/>
      <c r="F98" s="87" t="s">
        <v>184</v>
      </c>
      <c r="G98" s="103">
        <v>0.08</v>
      </c>
      <c r="H98" s="104">
        <f>NPV(G98,D94:X94)</f>
        <v>-7598.0270052081705</v>
      </c>
    </row>
  </sheetData>
  <mergeCells count="19">
    <mergeCell ref="N30:O30"/>
    <mergeCell ref="B82:B83"/>
    <mergeCell ref="B1:Y1"/>
    <mergeCell ref="E3:X3"/>
    <mergeCell ref="N29:O29"/>
    <mergeCell ref="C3:C4"/>
    <mergeCell ref="B3:B4"/>
    <mergeCell ref="Y3:Y4"/>
    <mergeCell ref="C82:C83"/>
    <mergeCell ref="B39:B40"/>
    <mergeCell ref="N31:O31"/>
    <mergeCell ref="B37:Y37"/>
    <mergeCell ref="Y82:Y83"/>
    <mergeCell ref="C39:C40"/>
    <mergeCell ref="H82:X82"/>
    <mergeCell ref="E39:X39"/>
    <mergeCell ref="E82:G82"/>
    <mergeCell ref="B80:Y80"/>
    <mergeCell ref="Y39:Y40"/>
  </mergeCells>
  <phoneticPr fontId="61" type="noConversion"/>
  <pageMargins left="0.16944444444444445" right="0.36944444444444446" top="1" bottom="1" header="0.5" footer="0.5"/>
  <pageSetup paperSize="9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3B238-D5F1-454A-B74D-0AA6E70E28F6}">
  <dimension ref="A1:W32"/>
  <sheetViews>
    <sheetView zoomScale="115" zoomScaleNormal="115" zoomScaleSheetLayoutView="100" workbookViewId="0">
      <pane xSplit="2" ySplit="4" topLeftCell="C5" activePane="bottomRight" state="frozen"/>
      <selection pane="topRight"/>
      <selection pane="bottomLeft"/>
      <selection pane="bottomRight" activeCell="K21" sqref="K21"/>
    </sheetView>
  </sheetViews>
  <sheetFormatPr defaultColWidth="9" defaultRowHeight="12.9" x14ac:dyDescent="0.3"/>
  <cols>
    <col min="1" max="1" width="6.35546875" style="374" customWidth="1"/>
    <col min="2" max="2" width="16.7109375" style="393" customWidth="1"/>
    <col min="3" max="3" width="8.2109375" style="393" customWidth="1"/>
    <col min="4" max="5" width="7.5703125" style="374" customWidth="1"/>
    <col min="6" max="20" width="8.0703125" style="374" customWidth="1"/>
    <col min="21" max="23" width="7.5703125" style="374" customWidth="1"/>
    <col min="24" max="16384" width="9" style="374"/>
  </cols>
  <sheetData>
    <row r="1" spans="1:23" ht="27.75" customHeight="1" x14ac:dyDescent="0.3">
      <c r="A1" s="520" t="s">
        <v>199</v>
      </c>
      <c r="B1" s="520"/>
      <c r="C1" s="520"/>
      <c r="D1" s="520"/>
      <c r="E1" s="520"/>
      <c r="F1" s="520"/>
      <c r="G1" s="520"/>
      <c r="H1" s="520"/>
      <c r="I1" s="520"/>
      <c r="J1" s="520"/>
      <c r="K1" s="520"/>
      <c r="L1" s="520"/>
      <c r="M1" s="520"/>
      <c r="N1" s="520"/>
      <c r="O1" s="520"/>
      <c r="P1" s="520"/>
      <c r="Q1" s="520"/>
      <c r="R1" s="520"/>
      <c r="S1" s="520"/>
      <c r="T1" s="520"/>
      <c r="U1" s="520"/>
      <c r="V1" s="520"/>
      <c r="W1" s="520"/>
    </row>
    <row r="3" spans="1:23" s="251" customFormat="1" ht="17.149999999999999" customHeight="1" x14ac:dyDescent="0.3">
      <c r="A3" s="518" t="s">
        <v>1</v>
      </c>
      <c r="B3" s="511" t="s">
        <v>64</v>
      </c>
      <c r="C3" s="375" t="s">
        <v>125</v>
      </c>
      <c r="D3" s="521" t="s">
        <v>91</v>
      </c>
      <c r="E3" s="522"/>
      <c r="F3" s="522"/>
      <c r="G3" s="522"/>
      <c r="H3" s="522"/>
      <c r="I3" s="522"/>
      <c r="J3" s="522"/>
      <c r="K3" s="522"/>
      <c r="L3" s="522"/>
      <c r="M3" s="522"/>
      <c r="N3" s="522"/>
      <c r="O3" s="522"/>
      <c r="P3" s="522"/>
      <c r="Q3" s="522"/>
      <c r="R3" s="522"/>
      <c r="S3" s="522"/>
      <c r="T3" s="522"/>
      <c r="U3" s="522"/>
      <c r="V3" s="522"/>
      <c r="W3" s="523"/>
    </row>
    <row r="4" spans="1:23" s="251" customFormat="1" ht="17.149999999999999" customHeight="1" x14ac:dyDescent="0.3">
      <c r="A4" s="519"/>
      <c r="B4" s="512"/>
      <c r="C4" s="376">
        <f>成本!D4</f>
        <v>1</v>
      </c>
      <c r="D4" s="376">
        <v>1</v>
      </c>
      <c r="E4" s="376">
        <v>2</v>
      </c>
      <c r="F4" s="376">
        <v>3</v>
      </c>
      <c r="G4" s="376">
        <v>4</v>
      </c>
      <c r="H4" s="376">
        <v>5</v>
      </c>
      <c r="I4" s="376">
        <v>6</v>
      </c>
      <c r="J4" s="376">
        <v>7</v>
      </c>
      <c r="K4" s="376">
        <v>8</v>
      </c>
      <c r="L4" s="376">
        <v>9</v>
      </c>
      <c r="M4" s="376">
        <v>10</v>
      </c>
      <c r="N4" s="376">
        <v>11</v>
      </c>
      <c r="O4" s="376">
        <v>12</v>
      </c>
      <c r="P4" s="376">
        <v>13</v>
      </c>
      <c r="Q4" s="376">
        <v>14</v>
      </c>
      <c r="R4" s="376">
        <v>15</v>
      </c>
      <c r="S4" s="376">
        <v>16</v>
      </c>
      <c r="T4" s="376">
        <v>17</v>
      </c>
      <c r="U4" s="376">
        <v>18</v>
      </c>
      <c r="V4" s="376">
        <v>19</v>
      </c>
      <c r="W4" s="398">
        <v>20</v>
      </c>
    </row>
    <row r="5" spans="1:23" ht="14.15" x14ac:dyDescent="0.35">
      <c r="A5" s="252">
        <v>1</v>
      </c>
      <c r="B5" s="377" t="s">
        <v>200</v>
      </c>
      <c r="C5" s="378">
        <f>C6+C10+C11+C12</f>
        <v>43130.123661714664</v>
      </c>
      <c r="D5" s="379">
        <f>D6+D10+D11+D12+D9</f>
        <v>40522.711713214136</v>
      </c>
      <c r="E5" s="379">
        <f t="shared" ref="E5:W5" si="0">E6+E10+E11+E12+E9</f>
        <v>37758.059764713602</v>
      </c>
      <c r="F5" s="379">
        <f t="shared" si="0"/>
        <v>35042.027816213071</v>
      </c>
      <c r="G5" s="379">
        <f t="shared" si="0"/>
        <v>32325.995867712536</v>
      </c>
      <c r="H5" s="379">
        <f t="shared" si="0"/>
        <v>29609.963919212001</v>
      </c>
      <c r="I5" s="379">
        <f t="shared" si="0"/>
        <v>26893.93197071147</v>
      </c>
      <c r="J5" s="379">
        <f t="shared" si="0"/>
        <v>24177.900022210935</v>
      </c>
      <c r="K5" s="379">
        <f t="shared" si="0"/>
        <v>21461.8680737104</v>
      </c>
      <c r="L5" s="379">
        <f t="shared" si="0"/>
        <v>18745.836125209866</v>
      </c>
      <c r="M5" s="379">
        <f t="shared" si="0"/>
        <v>16029.804176709335</v>
      </c>
      <c r="N5" s="379">
        <f t="shared" si="0"/>
        <v>13313.772228208803</v>
      </c>
      <c r="O5" s="379">
        <f t="shared" si="0"/>
        <v>10597.74027970827</v>
      </c>
      <c r="P5" s="379">
        <f t="shared" si="0"/>
        <v>7881.7083312077384</v>
      </c>
      <c r="Q5" s="379">
        <f t="shared" si="0"/>
        <v>5165.6763827072064</v>
      </c>
      <c r="R5" s="379">
        <f t="shared" si="0"/>
        <v>2449.6444342066734</v>
      </c>
      <c r="S5" s="379">
        <f t="shared" si="0"/>
        <v>2214.1601333217177</v>
      </c>
      <c r="T5" s="379">
        <f t="shared" si="0"/>
        <v>2018.3270902228246</v>
      </c>
      <c r="U5" s="379">
        <f t="shared" si="0"/>
        <v>2018.3270902228246</v>
      </c>
      <c r="V5" s="379">
        <f t="shared" si="0"/>
        <v>2018.3270902228246</v>
      </c>
      <c r="W5" s="399">
        <f t="shared" si="0"/>
        <v>2018.3270902228246</v>
      </c>
    </row>
    <row r="6" spans="1:23" ht="14.15" x14ac:dyDescent="0.35">
      <c r="A6" s="381" t="s">
        <v>149</v>
      </c>
      <c r="B6" s="377" t="s">
        <v>201</v>
      </c>
      <c r="C6" s="382"/>
      <c r="D6" s="380">
        <f>SUM(D7:D8)</f>
        <v>60</v>
      </c>
      <c r="E6" s="380">
        <f t="shared" ref="E6:M6" si="1">SUM(E7:E8)</f>
        <v>60</v>
      </c>
      <c r="F6" s="380">
        <f t="shared" si="1"/>
        <v>60</v>
      </c>
      <c r="G6" s="380">
        <f t="shared" si="1"/>
        <v>60</v>
      </c>
      <c r="H6" s="380">
        <f t="shared" si="1"/>
        <v>60</v>
      </c>
      <c r="I6" s="380">
        <f t="shared" si="1"/>
        <v>60</v>
      </c>
      <c r="J6" s="380">
        <f t="shared" si="1"/>
        <v>60</v>
      </c>
      <c r="K6" s="380">
        <f t="shared" si="1"/>
        <v>60</v>
      </c>
      <c r="L6" s="380">
        <f t="shared" si="1"/>
        <v>60</v>
      </c>
      <c r="M6" s="380">
        <f t="shared" si="1"/>
        <v>60</v>
      </c>
      <c r="N6" s="380">
        <f t="shared" ref="N6:W6" si="2">SUM(N7:N8)</f>
        <v>60</v>
      </c>
      <c r="O6" s="380">
        <f t="shared" si="2"/>
        <v>60</v>
      </c>
      <c r="P6" s="380">
        <f t="shared" si="2"/>
        <v>60</v>
      </c>
      <c r="Q6" s="380">
        <f t="shared" si="2"/>
        <v>60</v>
      </c>
      <c r="R6" s="380">
        <f t="shared" si="2"/>
        <v>60</v>
      </c>
      <c r="S6" s="380">
        <f t="shared" si="2"/>
        <v>60</v>
      </c>
      <c r="T6" s="380">
        <f t="shared" si="2"/>
        <v>60</v>
      </c>
      <c r="U6" s="380">
        <f t="shared" si="2"/>
        <v>60</v>
      </c>
      <c r="V6" s="380">
        <f t="shared" si="2"/>
        <v>60</v>
      </c>
      <c r="W6" s="399">
        <f t="shared" si="2"/>
        <v>60</v>
      </c>
    </row>
    <row r="7" spans="1:23" ht="14.15" x14ac:dyDescent="0.35">
      <c r="A7" s="381" t="s">
        <v>202</v>
      </c>
      <c r="B7" s="377" t="s">
        <v>203</v>
      </c>
      <c r="C7" s="382"/>
      <c r="D7" s="380">
        <f>投资计划!C8</f>
        <v>60</v>
      </c>
      <c r="E7" s="380">
        <f t="shared" ref="E7:M7" si="3">D7</f>
        <v>60</v>
      </c>
      <c r="F7" s="380">
        <f t="shared" si="3"/>
        <v>60</v>
      </c>
      <c r="G7" s="380">
        <f t="shared" si="3"/>
        <v>60</v>
      </c>
      <c r="H7" s="380">
        <f t="shared" si="3"/>
        <v>60</v>
      </c>
      <c r="I7" s="380">
        <f t="shared" si="3"/>
        <v>60</v>
      </c>
      <c r="J7" s="380">
        <f t="shared" si="3"/>
        <v>60</v>
      </c>
      <c r="K7" s="380">
        <f t="shared" si="3"/>
        <v>60</v>
      </c>
      <c r="L7" s="380">
        <f t="shared" si="3"/>
        <v>60</v>
      </c>
      <c r="M7" s="380">
        <f t="shared" si="3"/>
        <v>60</v>
      </c>
      <c r="N7" s="380">
        <f t="shared" ref="N7:W7" si="4">M7</f>
        <v>60</v>
      </c>
      <c r="O7" s="380">
        <f t="shared" si="4"/>
        <v>60</v>
      </c>
      <c r="P7" s="380">
        <f t="shared" si="4"/>
        <v>60</v>
      </c>
      <c r="Q7" s="380">
        <f t="shared" si="4"/>
        <v>60</v>
      </c>
      <c r="R7" s="380">
        <f t="shared" si="4"/>
        <v>60</v>
      </c>
      <c r="S7" s="380">
        <f t="shared" si="4"/>
        <v>60</v>
      </c>
      <c r="T7" s="380">
        <f t="shared" si="4"/>
        <v>60</v>
      </c>
      <c r="U7" s="380">
        <f t="shared" si="4"/>
        <v>60</v>
      </c>
      <c r="V7" s="380">
        <f t="shared" si="4"/>
        <v>60</v>
      </c>
      <c r="W7" s="399">
        <f t="shared" si="4"/>
        <v>60</v>
      </c>
    </row>
    <row r="8" spans="1:23" ht="14.15" x14ac:dyDescent="0.35">
      <c r="A8" s="381" t="s">
        <v>204</v>
      </c>
      <c r="B8" s="377" t="s">
        <v>205</v>
      </c>
      <c r="C8" s="382"/>
      <c r="D8" s="380">
        <f>财务计划!E34</f>
        <v>0</v>
      </c>
      <c r="E8" s="380">
        <f>财务计划!F34</f>
        <v>0</v>
      </c>
      <c r="F8" s="380">
        <f>财务计划!G34</f>
        <v>0</v>
      </c>
      <c r="G8" s="380">
        <f>财务计划!H34</f>
        <v>0</v>
      </c>
      <c r="H8" s="380">
        <f>财务计划!I34</f>
        <v>0</v>
      </c>
      <c r="I8" s="380">
        <f>财务计划!J34</f>
        <v>0</v>
      </c>
      <c r="J8" s="380">
        <f>财务计划!K34</f>
        <v>0</v>
      </c>
      <c r="K8" s="380">
        <f>财务计划!L34</f>
        <v>0</v>
      </c>
      <c r="L8" s="380">
        <f>财务计划!M34</f>
        <v>0</v>
      </c>
      <c r="M8" s="380">
        <f>财务计划!N34</f>
        <v>0</v>
      </c>
      <c r="N8" s="380">
        <f>财务计划!O34</f>
        <v>0</v>
      </c>
      <c r="O8" s="380">
        <f>财务计划!P34</f>
        <v>0</v>
      </c>
      <c r="P8" s="380">
        <f>财务计划!Q34</f>
        <v>0</v>
      </c>
      <c r="Q8" s="380">
        <f>财务计划!R34</f>
        <v>0</v>
      </c>
      <c r="R8" s="380">
        <f>财务计划!S34</f>
        <v>0</v>
      </c>
      <c r="S8" s="380">
        <f>财务计划!T34</f>
        <v>0</v>
      </c>
      <c r="T8" s="380">
        <f>财务计划!U34</f>
        <v>0</v>
      </c>
      <c r="U8" s="380">
        <f>财务计划!V34</f>
        <v>0</v>
      </c>
      <c r="V8" s="380">
        <f>财务计划!W34</f>
        <v>0</v>
      </c>
      <c r="W8" s="399">
        <f>财务计划!X34</f>
        <v>0</v>
      </c>
    </row>
    <row r="9" spans="1:23" ht="14.15" x14ac:dyDescent="0.35">
      <c r="A9" s="381" t="s">
        <v>361</v>
      </c>
      <c r="B9" s="377" t="s">
        <v>362</v>
      </c>
      <c r="C9" s="382"/>
      <c r="D9" s="380">
        <f>SUM(财务计划!$E$10:'财务计划'!E10)</f>
        <v>48.620000000000005</v>
      </c>
      <c r="E9" s="380">
        <f>SUM(财务计划!$E$10:'财务计划'!F10)</f>
        <v>0</v>
      </c>
      <c r="F9" s="380">
        <f>SUM(财务计划!$E$10:'财务计划'!G10)</f>
        <v>0</v>
      </c>
      <c r="G9" s="380">
        <f>SUM(财务计划!$E$10:'财务计划'!H10)</f>
        <v>0</v>
      </c>
      <c r="H9" s="380">
        <f>SUM(财务计划!$E$10:'财务计划'!I10)</f>
        <v>0</v>
      </c>
      <c r="I9" s="380">
        <f>SUM(财务计划!$E$10:'财务计划'!J10)</f>
        <v>0</v>
      </c>
      <c r="J9" s="380">
        <f>SUM(财务计划!$E$10:'财务计划'!K10)</f>
        <v>0</v>
      </c>
      <c r="K9" s="380">
        <f>SUM(财务计划!$E$10:'财务计划'!L10)</f>
        <v>0</v>
      </c>
      <c r="L9" s="380">
        <f>SUM(财务计划!$E$10:'财务计划'!M10)</f>
        <v>0</v>
      </c>
      <c r="M9" s="380">
        <f>SUM(财务计划!$E$10:'财务计划'!N10)</f>
        <v>0</v>
      </c>
      <c r="N9" s="380">
        <f>SUM(财务计划!$E$10:'财务计划'!O10)</f>
        <v>0</v>
      </c>
      <c r="O9" s="380">
        <f>SUM(财务计划!$E$10:'财务计划'!P10)</f>
        <v>0</v>
      </c>
      <c r="P9" s="380">
        <f>SUM(财务计划!$E$10:'财务计划'!Q10)</f>
        <v>0</v>
      </c>
      <c r="Q9" s="380">
        <f>SUM(财务计划!$E$10:'财务计划'!R10)</f>
        <v>0</v>
      </c>
      <c r="R9" s="380">
        <f>SUM(财务计划!$E$10:'财务计划'!S10)</f>
        <v>0</v>
      </c>
      <c r="S9" s="380">
        <f>SUM(财务计划!$E$10:'财务计划'!T10)</f>
        <v>0</v>
      </c>
      <c r="T9" s="380">
        <f>SUM(财务计划!$E$10:'财务计划'!U10)</f>
        <v>0</v>
      </c>
      <c r="U9" s="380">
        <f>SUM(财务计划!$E$10:'财务计划'!V10)</f>
        <v>0</v>
      </c>
      <c r="V9" s="380">
        <f>SUM(财务计划!$E$10:'财务计划'!W10)</f>
        <v>0</v>
      </c>
      <c r="W9" s="399">
        <f>SUM(财务计划!$E$10:'财务计划'!X10)</f>
        <v>0</v>
      </c>
    </row>
    <row r="10" spans="1:23" ht="14.15" x14ac:dyDescent="0.35">
      <c r="A10" s="381" t="s">
        <v>151</v>
      </c>
      <c r="B10" s="377" t="s">
        <v>206</v>
      </c>
      <c r="C10" s="378">
        <f>投资计划!F5</f>
        <v>43130.123661714664</v>
      </c>
      <c r="D10" s="383"/>
      <c r="E10" s="380">
        <v>0</v>
      </c>
      <c r="F10" s="380">
        <v>0</v>
      </c>
      <c r="G10" s="380">
        <v>0</v>
      </c>
      <c r="H10" s="380">
        <v>0</v>
      </c>
      <c r="I10" s="380">
        <v>0</v>
      </c>
      <c r="J10" s="380">
        <v>0</v>
      </c>
      <c r="K10" s="380">
        <v>0</v>
      </c>
      <c r="L10" s="380">
        <v>0</v>
      </c>
      <c r="M10" s="380">
        <v>0</v>
      </c>
      <c r="N10" s="380">
        <v>0</v>
      </c>
      <c r="O10" s="380">
        <v>0</v>
      </c>
      <c r="P10" s="380">
        <v>0</v>
      </c>
      <c r="Q10" s="380">
        <v>0</v>
      </c>
      <c r="R10" s="380">
        <v>0</v>
      </c>
      <c r="S10" s="380">
        <v>0</v>
      </c>
      <c r="T10" s="380">
        <v>0</v>
      </c>
      <c r="U10" s="380">
        <v>0</v>
      </c>
      <c r="V10" s="380">
        <v>0</v>
      </c>
      <c r="W10" s="399">
        <v>0</v>
      </c>
    </row>
    <row r="11" spans="1:23" ht="14.15" x14ac:dyDescent="0.35">
      <c r="A11" s="381" t="s">
        <v>153</v>
      </c>
      <c r="B11" s="384" t="s">
        <v>207</v>
      </c>
      <c r="C11" s="382"/>
      <c r="D11" s="380">
        <f>成本!E31</f>
        <v>36685.994156840905</v>
      </c>
      <c r="E11" s="380">
        <f>成本!F31</f>
        <v>34205.44650922533</v>
      </c>
      <c r="F11" s="380">
        <f>成本!G31</f>
        <v>31724.898861609752</v>
      </c>
      <c r="G11" s="380">
        <f>成本!H31</f>
        <v>29244.351213994174</v>
      </c>
      <c r="H11" s="380">
        <f>成本!I31</f>
        <v>26763.803566378596</v>
      </c>
      <c r="I11" s="380">
        <f>成本!J31</f>
        <v>24283.255918763018</v>
      </c>
      <c r="J11" s="380">
        <f>成本!K31</f>
        <v>21802.70827114744</v>
      </c>
      <c r="K11" s="380">
        <f>成本!L31</f>
        <v>19322.160623531861</v>
      </c>
      <c r="L11" s="380">
        <f>成本!M31</f>
        <v>16841.612975916283</v>
      </c>
      <c r="M11" s="380">
        <f>成本!N31</f>
        <v>14361.065328300707</v>
      </c>
      <c r="N11" s="380">
        <f>成本!O31</f>
        <v>11880.51768068513</v>
      </c>
      <c r="O11" s="380">
        <f>成本!P31</f>
        <v>9399.9700330695541</v>
      </c>
      <c r="P11" s="380">
        <f>成本!Q31</f>
        <v>6919.4223854539778</v>
      </c>
      <c r="Q11" s="380">
        <f>成本!R31</f>
        <v>4438.8747378384014</v>
      </c>
      <c r="R11" s="380">
        <f>成本!S31</f>
        <v>1958.3270902228246</v>
      </c>
      <c r="S11" s="380">
        <f>成本!T31</f>
        <v>1958.3270902228246</v>
      </c>
      <c r="T11" s="380">
        <f>成本!U31</f>
        <v>1958.3270902228246</v>
      </c>
      <c r="U11" s="380">
        <f>成本!V31</f>
        <v>1958.3270902228246</v>
      </c>
      <c r="V11" s="380">
        <f>成本!W31</f>
        <v>1958.3270902228246</v>
      </c>
      <c r="W11" s="399">
        <f>成本!X31</f>
        <v>1958.3270902228246</v>
      </c>
    </row>
    <row r="12" spans="1:23" ht="14.15" x14ac:dyDescent="0.35">
      <c r="A12" s="381" t="s">
        <v>208</v>
      </c>
      <c r="B12" s="384" t="s">
        <v>209</v>
      </c>
      <c r="C12" s="385">
        <f>成本!E52+成本!E57</f>
        <v>0</v>
      </c>
      <c r="D12" s="380">
        <f>成本!F52+成本!F57</f>
        <v>3728.0975563732291</v>
      </c>
      <c r="E12" s="380">
        <f>成本!G52+成本!G57</f>
        <v>3492.6132554882734</v>
      </c>
      <c r="F12" s="380">
        <f>成本!H52+成本!H57</f>
        <v>3257.1289546033177</v>
      </c>
      <c r="G12" s="380">
        <f>成本!I52+成本!I57</f>
        <v>3021.644653718362</v>
      </c>
      <c r="H12" s="380">
        <f>成本!J52+成本!J57</f>
        <v>2786.1603528334063</v>
      </c>
      <c r="I12" s="380">
        <f>成本!K52+成本!K57</f>
        <v>2550.6760519484505</v>
      </c>
      <c r="J12" s="380">
        <f>成本!L52+成本!L57</f>
        <v>2315.1917510634948</v>
      </c>
      <c r="K12" s="380">
        <f>成本!M52+成本!M57</f>
        <v>2079.7074501785391</v>
      </c>
      <c r="L12" s="380">
        <f>成本!N52+成本!N57</f>
        <v>1844.2231492935834</v>
      </c>
      <c r="M12" s="380">
        <f>成本!O52+成本!O57</f>
        <v>1608.7388484086277</v>
      </c>
      <c r="N12" s="380">
        <f>成本!P52+成本!P57</f>
        <v>1373.254547523672</v>
      </c>
      <c r="O12" s="380">
        <f>成本!Q52+成本!Q57</f>
        <v>1137.7702466387163</v>
      </c>
      <c r="P12" s="380">
        <f>成本!R52+成本!R57</f>
        <v>902.28594575376053</v>
      </c>
      <c r="Q12" s="380">
        <f>成本!S52+成本!S57</f>
        <v>666.80164486880471</v>
      </c>
      <c r="R12" s="380">
        <f>成本!T52+成本!T57</f>
        <v>431.3173439838489</v>
      </c>
      <c r="S12" s="380">
        <f>成本!U52+成本!U57</f>
        <v>195.83304309889311</v>
      </c>
      <c r="T12" s="380">
        <f>成本!V52+成本!V57</f>
        <v>0</v>
      </c>
      <c r="U12" s="380">
        <f>成本!W52+成本!W57</f>
        <v>0</v>
      </c>
      <c r="V12" s="380">
        <f>成本!X52+成本!X57</f>
        <v>0</v>
      </c>
      <c r="W12" s="399">
        <f>成本!Y52+成本!Y57</f>
        <v>0</v>
      </c>
    </row>
    <row r="13" spans="1:23" ht="14.15" x14ac:dyDescent="0.35">
      <c r="A13" s="381" t="s">
        <v>210</v>
      </c>
      <c r="B13" s="377" t="s">
        <v>211</v>
      </c>
      <c r="C13" s="385">
        <f>C17+C18</f>
        <v>43118.123661714664</v>
      </c>
      <c r="D13" s="386">
        <f>D17+D18</f>
        <v>40510.711713214128</v>
      </c>
      <c r="E13" s="386">
        <f>E17+E18</f>
        <v>37746.059764713595</v>
      </c>
      <c r="F13" s="386">
        <f>F17+F18</f>
        <v>35030.027816213063</v>
      </c>
      <c r="G13" s="386">
        <f t="shared" ref="G13:W13" si="5">G17+G18</f>
        <v>32313.995867712532</v>
      </c>
      <c r="H13" s="386">
        <f t="shared" si="5"/>
        <v>29597.963919212001</v>
      </c>
      <c r="I13" s="386">
        <f t="shared" si="5"/>
        <v>26881.93197071147</v>
      </c>
      <c r="J13" s="386">
        <f t="shared" si="5"/>
        <v>24165.900022210939</v>
      </c>
      <c r="K13" s="386">
        <f t="shared" si="5"/>
        <v>21449.8680737104</v>
      </c>
      <c r="L13" s="386">
        <f t="shared" si="5"/>
        <v>18733.836125209862</v>
      </c>
      <c r="M13" s="386">
        <f t="shared" si="5"/>
        <v>16017.804176709331</v>
      </c>
      <c r="N13" s="386">
        <f t="shared" si="5"/>
        <v>13301.772228208793</v>
      </c>
      <c r="O13" s="386">
        <f t="shared" si="5"/>
        <v>10585.740279708261</v>
      </c>
      <c r="P13" s="386">
        <f t="shared" si="5"/>
        <v>7869.7083312077302</v>
      </c>
      <c r="Q13" s="386">
        <f t="shared" si="5"/>
        <v>5153.6763827072064</v>
      </c>
      <c r="R13" s="386">
        <f t="shared" si="5"/>
        <v>2437.6444342066752</v>
      </c>
      <c r="S13" s="386">
        <f t="shared" si="5"/>
        <v>2202.1601333217259</v>
      </c>
      <c r="T13" s="386">
        <f t="shared" si="5"/>
        <v>2006.3270902228323</v>
      </c>
      <c r="U13" s="386">
        <f t="shared" si="5"/>
        <v>2006.3270902228323</v>
      </c>
      <c r="V13" s="386">
        <f t="shared" si="5"/>
        <v>2006.3270902228323</v>
      </c>
      <c r="W13" s="400">
        <f t="shared" si="5"/>
        <v>2030.9202068283776</v>
      </c>
    </row>
    <row r="14" spans="1:23" ht="14.15" x14ac:dyDescent="0.35">
      <c r="A14" s="381" t="s">
        <v>98</v>
      </c>
      <c r="B14" s="377" t="s">
        <v>212</v>
      </c>
      <c r="C14" s="382"/>
      <c r="D14" s="386">
        <f>投资计划!$G$18</f>
        <v>60</v>
      </c>
      <c r="E14" s="386">
        <f>投资计划!$G$18</f>
        <v>60</v>
      </c>
      <c r="F14" s="386">
        <f>投资计划!$G$18</f>
        <v>60</v>
      </c>
      <c r="G14" s="386">
        <f>投资计划!$G$18</f>
        <v>60</v>
      </c>
      <c r="H14" s="386">
        <f>投资计划!$G$18</f>
        <v>60</v>
      </c>
      <c r="I14" s="386">
        <f>投资计划!$G$18</f>
        <v>60</v>
      </c>
      <c r="J14" s="386">
        <f>投资计划!$G$18</f>
        <v>60</v>
      </c>
      <c r="K14" s="386">
        <f>投资计划!$G$18</f>
        <v>60</v>
      </c>
      <c r="L14" s="386">
        <f>投资计划!$G$18</f>
        <v>60</v>
      </c>
      <c r="M14" s="386">
        <f>投资计划!$G$18</f>
        <v>60</v>
      </c>
      <c r="N14" s="386">
        <f>投资计划!$G$18</f>
        <v>60</v>
      </c>
      <c r="O14" s="386">
        <f>投资计划!$G$18</f>
        <v>60</v>
      </c>
      <c r="P14" s="386">
        <f>投资计划!$G$18</f>
        <v>60</v>
      </c>
      <c r="Q14" s="386">
        <f>投资计划!$G$18</f>
        <v>60</v>
      </c>
      <c r="R14" s="386">
        <f>投资计划!$G$18</f>
        <v>60</v>
      </c>
      <c r="S14" s="386">
        <f>投资计划!$G$18</f>
        <v>60</v>
      </c>
      <c r="T14" s="386">
        <f>投资计划!$G$18</f>
        <v>60</v>
      </c>
      <c r="U14" s="386">
        <f>投资计划!$G$18</f>
        <v>60</v>
      </c>
      <c r="V14" s="386">
        <f>投资计划!$G$18</f>
        <v>60</v>
      </c>
      <c r="W14" s="400">
        <f>投资计划!$G$18</f>
        <v>60</v>
      </c>
    </row>
    <row r="15" spans="1:23" ht="14.15" x14ac:dyDescent="0.35">
      <c r="A15" s="381" t="s">
        <v>99</v>
      </c>
      <c r="B15" s="377" t="s">
        <v>82</v>
      </c>
      <c r="C15" s="378">
        <f>还贷!D6</f>
        <v>34492.098929371728</v>
      </c>
      <c r="D15" s="380">
        <f>还贷!F6</f>
        <v>32880.439515838661</v>
      </c>
      <c r="E15" s="380">
        <f>还贷!G6</f>
        <v>31189.808791042477</v>
      </c>
      <c r="F15" s="380">
        <f>还贷!H6</f>
        <v>29416.33716073128</v>
      </c>
      <c r="G15" s="380">
        <f>还贷!I6</f>
        <v>27555.965420534834</v>
      </c>
      <c r="H15" s="380">
        <f>还贷!J6</f>
        <v>25604.435465068764</v>
      </c>
      <c r="I15" s="380">
        <f>还贷!K6</f>
        <v>23557.280541784854</v>
      </c>
      <c r="J15" s="380">
        <f>还贷!L6</f>
        <v>21409.815027260032</v>
      </c>
      <c r="K15" s="380">
        <f>还贷!M6</f>
        <v>19157.123702523495</v>
      </c>
      <c r="L15" s="380">
        <f>还贷!N6</f>
        <v>16794.050502874867</v>
      </c>
      <c r="M15" s="380">
        <f>还贷!O6</f>
        <v>14315.186716443455</v>
      </c>
      <c r="N15" s="380">
        <f>还贷!P6</f>
        <v>11714.858604476905</v>
      </c>
      <c r="O15" s="380">
        <f>还贷!Q6</f>
        <v>8987.1144150239943</v>
      </c>
      <c r="P15" s="380">
        <f>还贷!R6</f>
        <v>6125.7107602878914</v>
      </c>
      <c r="Q15" s="380">
        <f>还贷!S6</f>
        <v>3124.0983264697193</v>
      </c>
      <c r="R15" s="380">
        <f>还贷!T6</f>
        <v>-24.593116605543401</v>
      </c>
      <c r="S15" s="380">
        <f>还贷!U6</f>
        <v>-24.593116605543401</v>
      </c>
      <c r="T15" s="380">
        <f>还贷!V6</f>
        <v>-24.593116605543401</v>
      </c>
      <c r="U15" s="380">
        <f>还贷!W6</f>
        <v>-24.593116605543401</v>
      </c>
      <c r="V15" s="380">
        <f>还贷!X6</f>
        <v>-24.593116605543401</v>
      </c>
      <c r="W15" s="400">
        <f>还贷!Y6</f>
        <v>0</v>
      </c>
    </row>
    <row r="16" spans="1:23" ht="14.15" x14ac:dyDescent="0.35">
      <c r="A16" s="252">
        <v>2.2999999999999998</v>
      </c>
      <c r="B16" s="377" t="s">
        <v>213</v>
      </c>
      <c r="C16" s="385">
        <f>财务计划!D22</f>
        <v>0</v>
      </c>
      <c r="D16" s="380">
        <f>财务计划!E22</f>
        <v>1700.1483300732941</v>
      </c>
      <c r="E16" s="380">
        <f>财务计划!F22</f>
        <v>3370.8117433857378</v>
      </c>
      <c r="F16" s="380">
        <f>财务计划!G22</f>
        <v>5156.5676460582335</v>
      </c>
      <c r="G16" s="380">
        <f>财务计划!H22</f>
        <v>7013.8025613779437</v>
      </c>
      <c r="H16" s="380">
        <f>财务计划!I22</f>
        <v>8945.6258263950222</v>
      </c>
      <c r="I16" s="380">
        <f>财务计划!J22</f>
        <v>11268.614368756957</v>
      </c>
      <c r="J16" s="380">
        <f>财务计划!K22</f>
        <v>13686.451543592597</v>
      </c>
      <c r="K16" s="380">
        <f>财务计划!L22</f>
        <v>16203.263266414548</v>
      </c>
      <c r="L16" s="380">
        <f>财务计划!M22</f>
        <v>18823.354930060214</v>
      </c>
      <c r="M16" s="380">
        <f>财务计划!N22</f>
        <v>21551.219211955427</v>
      </c>
      <c r="N16" s="380">
        <f>财务计划!O22</f>
        <v>24587.376930016326</v>
      </c>
      <c r="O16" s="380">
        <f>财务计划!P22</f>
        <v>27749.406139693834</v>
      </c>
      <c r="P16" s="380">
        <f>财务计划!Q22</f>
        <v>31042.782250873279</v>
      </c>
      <c r="Q16" s="380">
        <f>财务计划!R22</f>
        <v>34473.218853769991</v>
      </c>
      <c r="R16" s="380">
        <f>财务计划!S22</f>
        <v>38046.678079773672</v>
      </c>
      <c r="S16" s="380">
        <f>财务计划!T22</f>
        <v>38668.438167344844</v>
      </c>
      <c r="T16" s="380">
        <f>财务计划!U22</f>
        <v>39341.035573396999</v>
      </c>
      <c r="U16" s="380">
        <f>财务计划!V22</f>
        <v>40160.390792471757</v>
      </c>
      <c r="V16" s="380">
        <f>财务计划!W22</f>
        <v>41015.387963576264</v>
      </c>
      <c r="W16" s="399">
        <f>财务计划!X22</f>
        <v>41907.577511623822</v>
      </c>
    </row>
    <row r="17" spans="1:23" ht="14.15" x14ac:dyDescent="0.35">
      <c r="A17" s="252"/>
      <c r="B17" s="387" t="s">
        <v>214</v>
      </c>
      <c r="C17" s="385">
        <f>C14+C15+C16</f>
        <v>34492.098929371728</v>
      </c>
      <c r="D17" s="386">
        <f>D14+D15+D16</f>
        <v>34640.587845911956</v>
      </c>
      <c r="E17" s="380">
        <f t="shared" ref="E17:W17" si="6">E14+E15+E16</f>
        <v>34620.620534428213</v>
      </c>
      <c r="F17" s="380">
        <f t="shared" si="6"/>
        <v>34632.904806789513</v>
      </c>
      <c r="G17" s="380">
        <f t="shared" si="6"/>
        <v>34629.767981912781</v>
      </c>
      <c r="H17" s="380">
        <f t="shared" si="6"/>
        <v>34610.06129146379</v>
      </c>
      <c r="I17" s="380">
        <f t="shared" si="6"/>
        <v>34885.894910541814</v>
      </c>
      <c r="J17" s="380">
        <f t="shared" si="6"/>
        <v>35156.266570852633</v>
      </c>
      <c r="K17" s="380">
        <f t="shared" si="6"/>
        <v>35420.386968938044</v>
      </c>
      <c r="L17" s="380">
        <f t="shared" si="6"/>
        <v>35677.405432935077</v>
      </c>
      <c r="M17" s="380">
        <f t="shared" si="6"/>
        <v>35926.405928398883</v>
      </c>
      <c r="N17" s="380">
        <f t="shared" si="6"/>
        <v>36362.235534493229</v>
      </c>
      <c r="O17" s="380">
        <f t="shared" si="6"/>
        <v>36796.520554717827</v>
      </c>
      <c r="P17" s="380">
        <f t="shared" si="6"/>
        <v>37228.493011161168</v>
      </c>
      <c r="Q17" s="380">
        <f t="shared" si="6"/>
        <v>37657.317180239712</v>
      </c>
      <c r="R17" s="380">
        <f t="shared" si="6"/>
        <v>38082.084963168127</v>
      </c>
      <c r="S17" s="380">
        <f t="shared" si="6"/>
        <v>38703.845050739299</v>
      </c>
      <c r="T17" s="380">
        <f t="shared" si="6"/>
        <v>39376.442456791454</v>
      </c>
      <c r="U17" s="380">
        <f t="shared" si="6"/>
        <v>40195.797675866212</v>
      </c>
      <c r="V17" s="380">
        <f t="shared" si="6"/>
        <v>41050.794846970719</v>
      </c>
      <c r="W17" s="399">
        <f t="shared" si="6"/>
        <v>41967.577511623822</v>
      </c>
    </row>
    <row r="18" spans="1:23" ht="14.15" x14ac:dyDescent="0.35">
      <c r="A18" s="381" t="s">
        <v>158</v>
      </c>
      <c r="B18" s="377" t="s">
        <v>215</v>
      </c>
      <c r="C18" s="385">
        <f>SUM(C19:C21)</f>
        <v>8626.0247323429339</v>
      </c>
      <c r="D18" s="386">
        <f>SUM(D19:D21)</f>
        <v>5870.1238673021717</v>
      </c>
      <c r="E18" s="386">
        <f>SUM(E19:E21)</f>
        <v>3125.4392302853803</v>
      </c>
      <c r="F18" s="386">
        <f>SUM(F19:F21)</f>
        <v>397.12300942354887</v>
      </c>
      <c r="G18" s="386">
        <f t="shared" ref="G18:W18" si="7">SUM(G19:G21)</f>
        <v>-2315.7721142002483</v>
      </c>
      <c r="H18" s="386">
        <f t="shared" si="7"/>
        <v>-5012.0973722517865</v>
      </c>
      <c r="I18" s="386">
        <f t="shared" si="7"/>
        <v>-8003.9629398303459</v>
      </c>
      <c r="J18" s="386">
        <f t="shared" si="7"/>
        <v>-10990.366548641696</v>
      </c>
      <c r="K18" s="386">
        <f t="shared" si="7"/>
        <v>-13970.518895227642</v>
      </c>
      <c r="L18" s="386">
        <f t="shared" si="7"/>
        <v>-16943.569307725214</v>
      </c>
      <c r="M18" s="386">
        <f t="shared" si="7"/>
        <v>-19908.601751689552</v>
      </c>
      <c r="N18" s="386">
        <f t="shared" si="7"/>
        <v>-23060.463306284437</v>
      </c>
      <c r="O18" s="386">
        <f t="shared" si="7"/>
        <v>-26210.780275009565</v>
      </c>
      <c r="P18" s="386">
        <f t="shared" si="7"/>
        <v>-29358.784679953438</v>
      </c>
      <c r="Q18" s="386">
        <f t="shared" si="7"/>
        <v>-32503.640797532506</v>
      </c>
      <c r="R18" s="386">
        <f t="shared" si="7"/>
        <v>-35644.440528961451</v>
      </c>
      <c r="S18" s="386">
        <f t="shared" si="7"/>
        <v>-36501.684917417573</v>
      </c>
      <c r="T18" s="386">
        <f t="shared" si="7"/>
        <v>-37370.115366568622</v>
      </c>
      <c r="U18" s="386">
        <f t="shared" si="7"/>
        <v>-38189.470585643379</v>
      </c>
      <c r="V18" s="386">
        <f t="shared" si="7"/>
        <v>-39044.467756747887</v>
      </c>
      <c r="W18" s="400">
        <f t="shared" si="7"/>
        <v>-39936.657304795444</v>
      </c>
    </row>
    <row r="19" spans="1:23" ht="14.15" x14ac:dyDescent="0.35">
      <c r="A19" s="381" t="s">
        <v>216</v>
      </c>
      <c r="B19" s="377" t="s">
        <v>32</v>
      </c>
      <c r="C19" s="378">
        <f>投资计划!F12</f>
        <v>8626.0247323429339</v>
      </c>
      <c r="D19" s="383">
        <f>C19+投资计划!G13</f>
        <v>8626.0247323429339</v>
      </c>
      <c r="E19" s="386">
        <f>现金流量!F50+D19</f>
        <v>8626.0247323429339</v>
      </c>
      <c r="F19" s="386">
        <f>现金流量!G50+E19</f>
        <v>8626.0247323429339</v>
      </c>
      <c r="G19" s="386">
        <f>现金流量!H50+F19</f>
        <v>8626.0247323429339</v>
      </c>
      <c r="H19" s="386">
        <f>现金流量!I50+G19</f>
        <v>8626.0247323429339</v>
      </c>
      <c r="I19" s="386">
        <f>现金流量!J50+H19</f>
        <v>8626.0247323429339</v>
      </c>
      <c r="J19" s="386">
        <f>现金流量!K50+I19</f>
        <v>8626.0247323429339</v>
      </c>
      <c r="K19" s="386">
        <f>现金流量!L50+J19</f>
        <v>8626.0247323429339</v>
      </c>
      <c r="L19" s="386">
        <f>现金流量!M50+K19</f>
        <v>8626.0247323429339</v>
      </c>
      <c r="M19" s="386">
        <f>现金流量!N50+L19</f>
        <v>8626.0247323429339</v>
      </c>
      <c r="N19" s="386">
        <f>现金流量!O50+M19</f>
        <v>8626.0247323429339</v>
      </c>
      <c r="O19" s="386">
        <f>现金流量!P50+N19</f>
        <v>8626.0247323429339</v>
      </c>
      <c r="P19" s="386">
        <f>现金流量!Q50+O19</f>
        <v>8626.0247323429339</v>
      </c>
      <c r="Q19" s="386">
        <f>现金流量!R50+P19</f>
        <v>8626.0247323429339</v>
      </c>
      <c r="R19" s="386">
        <f>现金流量!S50+Q19</f>
        <v>8626.0247323429339</v>
      </c>
      <c r="S19" s="386">
        <f>现金流量!T50+R19</f>
        <v>8626.0247323429339</v>
      </c>
      <c r="T19" s="386">
        <f>现金流量!U50+S19</f>
        <v>8626.0247323429339</v>
      </c>
      <c r="U19" s="386">
        <f>现金流量!V50+T19</f>
        <v>8626.0247323429339</v>
      </c>
      <c r="V19" s="386">
        <f>现金流量!W50+U19</f>
        <v>8626.0247323429339</v>
      </c>
      <c r="W19" s="400">
        <f>现金流量!X50+V19</f>
        <v>8626.0247323429339</v>
      </c>
    </row>
    <row r="20" spans="1:23" ht="14.15" x14ac:dyDescent="0.35">
      <c r="A20" s="381" t="s">
        <v>217</v>
      </c>
      <c r="B20" s="377" t="s">
        <v>218</v>
      </c>
      <c r="C20" s="377"/>
      <c r="D20" s="380">
        <f>损益!G27+损益!G28</f>
        <v>0</v>
      </c>
      <c r="E20" s="380">
        <f>损益!H27+损益!H28+D20</f>
        <v>0</v>
      </c>
      <c r="F20" s="380">
        <f>损益!I27+损益!I28+E20</f>
        <v>0</v>
      </c>
      <c r="G20" s="380">
        <f>损益!J27+损益!J28+F20</f>
        <v>0</v>
      </c>
      <c r="H20" s="380">
        <f>损益!K27+损益!K28+G20</f>
        <v>0</v>
      </c>
      <c r="I20" s="380">
        <f>损益!L27+损益!L28+H20</f>
        <v>0</v>
      </c>
      <c r="J20" s="380">
        <f>损益!M27+损益!M28+I20</f>
        <v>0</v>
      </c>
      <c r="K20" s="380">
        <f>损益!N27+损益!N28+J20</f>
        <v>0</v>
      </c>
      <c r="L20" s="380">
        <f>损益!O27+损益!O28+K20</f>
        <v>0</v>
      </c>
      <c r="M20" s="380">
        <f>损益!P27+损益!P28+L20</f>
        <v>0</v>
      </c>
      <c r="N20" s="380">
        <f>损益!Q27+损益!Q28+M20</f>
        <v>0</v>
      </c>
      <c r="O20" s="380">
        <f>损益!R27+损益!R28+N20</f>
        <v>0</v>
      </c>
      <c r="P20" s="380">
        <f>损益!S27+损益!S28+O20</f>
        <v>0</v>
      </c>
      <c r="Q20" s="380">
        <f>损益!T27+损益!T28+P20</f>
        <v>0</v>
      </c>
      <c r="R20" s="380">
        <f>损益!U27+损益!U28+Q20</f>
        <v>0</v>
      </c>
      <c r="S20" s="380">
        <f>损益!V27+损益!V28+R20</f>
        <v>0</v>
      </c>
      <c r="T20" s="380">
        <f>损益!W27+损益!W28+S20</f>
        <v>0</v>
      </c>
      <c r="U20" s="380">
        <f>损益!X27+损益!X28+T20</f>
        <v>0</v>
      </c>
      <c r="V20" s="380">
        <f>损益!Y27+损益!Y28+U20</f>
        <v>0</v>
      </c>
      <c r="W20" s="399">
        <f>损益!Z27+损益!Z28+V20</f>
        <v>0</v>
      </c>
    </row>
    <row r="21" spans="1:23" ht="14.15" x14ac:dyDescent="0.35">
      <c r="A21" s="381" t="s">
        <v>219</v>
      </c>
      <c r="B21" s="377" t="s">
        <v>116</v>
      </c>
      <c r="C21" s="377"/>
      <c r="D21" s="380">
        <f>损益!G33</f>
        <v>-2755.9008650407623</v>
      </c>
      <c r="E21" s="380">
        <f>损益!H33+D21</f>
        <v>-5500.5855020575536</v>
      </c>
      <c r="F21" s="380">
        <f>损益!I33+E21</f>
        <v>-8228.9017229193851</v>
      </c>
      <c r="G21" s="380">
        <f>损益!J33+F21</f>
        <v>-10941.796846543182</v>
      </c>
      <c r="H21" s="380">
        <f>损益!K33+G21</f>
        <v>-13638.12210459472</v>
      </c>
      <c r="I21" s="380">
        <f>损益!L33+H21</f>
        <v>-16629.98767217328</v>
      </c>
      <c r="J21" s="380">
        <f>损益!M33+I21</f>
        <v>-19616.39128098463</v>
      </c>
      <c r="K21" s="380">
        <f>损益!N33+J21</f>
        <v>-22596.543627570576</v>
      </c>
      <c r="L21" s="380">
        <f>损益!O33+K21</f>
        <v>-25569.59404006815</v>
      </c>
      <c r="M21" s="380">
        <f>损益!P33+L21</f>
        <v>-28534.626484032487</v>
      </c>
      <c r="N21" s="380">
        <f>损益!Q33+M21</f>
        <v>-31686.488038627369</v>
      </c>
      <c r="O21" s="380">
        <f>损益!R33+N21</f>
        <v>-34836.805007352501</v>
      </c>
      <c r="P21" s="380">
        <f>损益!S33+O21</f>
        <v>-37984.809412296374</v>
      </c>
      <c r="Q21" s="380">
        <f>损益!T33+P21</f>
        <v>-41129.665529875441</v>
      </c>
      <c r="R21" s="380">
        <f>损益!U33+Q21</f>
        <v>-44270.465261304387</v>
      </c>
      <c r="S21" s="380">
        <f>损益!V33+R21</f>
        <v>-45127.709649760509</v>
      </c>
      <c r="T21" s="380">
        <f>损益!W33+S21</f>
        <v>-45996.140098911557</v>
      </c>
      <c r="U21" s="380">
        <f>损益!X33+T21</f>
        <v>-46815.495317986315</v>
      </c>
      <c r="V21" s="380">
        <f>损益!Y33+U21</f>
        <v>-47670.492489090822</v>
      </c>
      <c r="W21" s="399">
        <f>损益!Z33+V21</f>
        <v>-48562.68203713838</v>
      </c>
    </row>
    <row r="22" spans="1:23" ht="13.75" x14ac:dyDescent="0.35">
      <c r="A22" s="388"/>
      <c r="B22" s="387"/>
      <c r="C22" s="387"/>
      <c r="D22" s="389"/>
      <c r="E22" s="389"/>
      <c r="F22" s="389"/>
      <c r="G22" s="389"/>
      <c r="H22" s="389"/>
      <c r="I22" s="389"/>
      <c r="J22" s="389"/>
      <c r="K22" s="389"/>
      <c r="L22" s="389"/>
      <c r="M22" s="389"/>
      <c r="N22" s="389"/>
      <c r="O22" s="389"/>
      <c r="P22" s="389"/>
      <c r="Q22" s="389"/>
      <c r="R22" s="389"/>
      <c r="S22" s="389"/>
      <c r="T22" s="389"/>
      <c r="U22" s="389"/>
      <c r="V22" s="389"/>
      <c r="W22" s="401"/>
    </row>
    <row r="23" spans="1:23" ht="14.6" thickBot="1" x14ac:dyDescent="0.35">
      <c r="A23" s="390"/>
      <c r="B23" s="391" t="s">
        <v>220</v>
      </c>
      <c r="C23" s="391"/>
      <c r="D23" s="392">
        <f t="shared" ref="D23:W23" si="8">D17/D5</f>
        <v>0.85484377479644169</v>
      </c>
      <c r="E23" s="392">
        <f t="shared" si="8"/>
        <v>0.9169067677249283</v>
      </c>
      <c r="F23" s="392">
        <f t="shared" si="8"/>
        <v>0.98832479068935997</v>
      </c>
      <c r="G23" s="392">
        <f t="shared" si="8"/>
        <v>1.071266856669411</v>
      </c>
      <c r="H23" s="392">
        <f t="shared" si="8"/>
        <v>1.168865365249822</v>
      </c>
      <c r="I23" s="392">
        <f t="shared" si="8"/>
        <v>1.2971660279550756</v>
      </c>
      <c r="J23" s="392">
        <f t="shared" si="8"/>
        <v>1.4540661735947482</v>
      </c>
      <c r="K23" s="392">
        <f t="shared" si="8"/>
        <v>1.6503869489499872</v>
      </c>
      <c r="L23" s="392">
        <f t="shared" si="8"/>
        <v>1.9032176102806755</v>
      </c>
      <c r="M23" s="392">
        <f t="shared" si="8"/>
        <v>2.2412255029664379</v>
      </c>
      <c r="N23" s="392">
        <f t="shared" si="8"/>
        <v>2.7311745244860104</v>
      </c>
      <c r="O23" s="392">
        <f t="shared" si="8"/>
        <v>3.4721100520997807</v>
      </c>
      <c r="P23" s="392">
        <f t="shared" si="8"/>
        <v>4.7234040447493353</v>
      </c>
      <c r="Q23" s="392">
        <f t="shared" si="8"/>
        <v>7.289910244145883</v>
      </c>
      <c r="R23" s="392">
        <f t="shared" si="8"/>
        <v>15.545964316858562</v>
      </c>
      <c r="S23" s="392">
        <f t="shared" si="8"/>
        <v>17.48014719815011</v>
      </c>
      <c r="T23" s="392">
        <f t="shared" si="8"/>
        <v>19.509445544054145</v>
      </c>
      <c r="U23" s="392">
        <f t="shared" si="8"/>
        <v>19.915403142821894</v>
      </c>
      <c r="V23" s="392">
        <f t="shared" si="8"/>
        <v>20.339019897136041</v>
      </c>
      <c r="W23" s="402">
        <f t="shared" si="8"/>
        <v>20.793248881671886</v>
      </c>
    </row>
    <row r="24" spans="1:23" ht="12" customHeight="1" x14ac:dyDescent="0.3"/>
    <row r="25" spans="1:23" s="394" customFormat="1" x14ac:dyDescent="0.3">
      <c r="B25" s="395"/>
      <c r="C25" s="396">
        <f>C5-C13</f>
        <v>12</v>
      </c>
      <c r="D25" s="396">
        <f t="shared" ref="D25:W25" si="9">D5-D13</f>
        <v>12.000000000007276</v>
      </c>
      <c r="E25" s="396">
        <f t="shared" si="9"/>
        <v>12.000000000007276</v>
      </c>
      <c r="F25" s="396">
        <f t="shared" si="9"/>
        <v>12.000000000007276</v>
      </c>
      <c r="G25" s="396">
        <f t="shared" si="9"/>
        <v>12.000000000003638</v>
      </c>
      <c r="H25" s="396">
        <f t="shared" si="9"/>
        <v>12</v>
      </c>
      <c r="I25" s="396">
        <f t="shared" si="9"/>
        <v>12</v>
      </c>
      <c r="J25" s="396">
        <f t="shared" si="9"/>
        <v>11.999999999996362</v>
      </c>
      <c r="K25" s="396">
        <f t="shared" si="9"/>
        <v>12</v>
      </c>
      <c r="L25" s="396">
        <f t="shared" si="9"/>
        <v>12.000000000003638</v>
      </c>
      <c r="M25" s="396">
        <f t="shared" si="9"/>
        <v>12.000000000003638</v>
      </c>
      <c r="N25" s="396">
        <f t="shared" si="9"/>
        <v>12.000000000010914</v>
      </c>
      <c r="O25" s="396">
        <f t="shared" si="9"/>
        <v>12.000000000009095</v>
      </c>
      <c r="P25" s="396">
        <f t="shared" si="9"/>
        <v>12.000000000008185</v>
      </c>
      <c r="Q25" s="396">
        <f t="shared" si="9"/>
        <v>12</v>
      </c>
      <c r="R25" s="396">
        <f t="shared" si="9"/>
        <v>11.999999999998181</v>
      </c>
      <c r="S25" s="396">
        <f t="shared" si="9"/>
        <v>11.999999999991815</v>
      </c>
      <c r="T25" s="396">
        <f t="shared" si="9"/>
        <v>11.999999999992269</v>
      </c>
      <c r="U25" s="396">
        <f t="shared" si="9"/>
        <v>11.999999999992269</v>
      </c>
      <c r="V25" s="396">
        <f t="shared" si="9"/>
        <v>11.999999999992269</v>
      </c>
      <c r="W25" s="396">
        <f t="shared" si="9"/>
        <v>-12.59311660555295</v>
      </c>
    </row>
    <row r="26" spans="1:23" x14ac:dyDescent="0.3">
      <c r="C26" s="396">
        <f>C6-C14</f>
        <v>0</v>
      </c>
      <c r="D26" s="396">
        <f>D25-C25</f>
        <v>7.2759576141834259E-12</v>
      </c>
      <c r="E26" s="396">
        <f>E25-D25</f>
        <v>0</v>
      </c>
      <c r="F26" s="396">
        <f t="shared" ref="F26:W26" si="10">F25-E25</f>
        <v>0</v>
      </c>
      <c r="G26" s="396">
        <f t="shared" si="10"/>
        <v>-3.637978807091713E-12</v>
      </c>
      <c r="H26" s="396">
        <f t="shared" si="10"/>
        <v>-3.637978807091713E-12</v>
      </c>
      <c r="I26" s="396">
        <f t="shared" si="10"/>
        <v>0</v>
      </c>
      <c r="J26" s="396">
        <f t="shared" si="10"/>
        <v>-3.637978807091713E-12</v>
      </c>
      <c r="K26" s="396">
        <f t="shared" si="10"/>
        <v>3.637978807091713E-12</v>
      </c>
      <c r="L26" s="396">
        <f t="shared" si="10"/>
        <v>3.637978807091713E-12</v>
      </c>
      <c r="M26" s="396">
        <f t="shared" si="10"/>
        <v>0</v>
      </c>
      <c r="N26" s="396">
        <f t="shared" si="10"/>
        <v>7.2759576141834259E-12</v>
      </c>
      <c r="O26" s="396">
        <f t="shared" si="10"/>
        <v>-1.8189894035458565E-12</v>
      </c>
      <c r="P26" s="396">
        <f t="shared" si="10"/>
        <v>-9.0949470177292824E-13</v>
      </c>
      <c r="Q26" s="396">
        <f t="shared" si="10"/>
        <v>-8.1854523159563541E-12</v>
      </c>
      <c r="R26" s="396">
        <f t="shared" si="10"/>
        <v>-1.8189894035458565E-12</v>
      </c>
      <c r="S26" s="396">
        <f t="shared" si="10"/>
        <v>-6.3664629124104977E-12</v>
      </c>
      <c r="T26" s="396">
        <f t="shared" si="10"/>
        <v>4.5474735088646412E-13</v>
      </c>
      <c r="U26" s="396">
        <f t="shared" si="10"/>
        <v>0</v>
      </c>
      <c r="V26" s="396">
        <f t="shared" si="10"/>
        <v>0</v>
      </c>
      <c r="W26" s="396">
        <f t="shared" si="10"/>
        <v>-24.593116605545219</v>
      </c>
    </row>
    <row r="28" spans="1:23" x14ac:dyDescent="0.3">
      <c r="D28" s="397">
        <f>MAX(D23:W23)</f>
        <v>20.793248881671886</v>
      </c>
    </row>
    <row r="31" spans="1:23" x14ac:dyDescent="0.3">
      <c r="D31" s="396"/>
      <c r="E31" s="396"/>
      <c r="F31" s="396"/>
      <c r="G31" s="396"/>
      <c r="H31" s="396"/>
      <c r="I31" s="396"/>
      <c r="J31" s="396"/>
      <c r="K31" s="396"/>
      <c r="L31" s="396"/>
      <c r="M31" s="396"/>
      <c r="N31" s="396"/>
      <c r="O31" s="396"/>
      <c r="P31" s="396"/>
      <c r="Q31" s="396"/>
    </row>
    <row r="32" spans="1:23" x14ac:dyDescent="0.3">
      <c r="E32" s="396"/>
    </row>
  </sheetData>
  <mergeCells count="4">
    <mergeCell ref="A1:W1"/>
    <mergeCell ref="D3:W3"/>
    <mergeCell ref="A3:A4"/>
    <mergeCell ref="B3:B4"/>
  </mergeCells>
  <phoneticPr fontId="61" type="noConversion"/>
  <pageMargins left="0.16944444444444445" right="0.4" top="1" bottom="1" header="0.5" footer="0.5"/>
  <pageSetup paperSize="9" scale="7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A10B6D-AFE3-40D7-867D-82E35CB05E17}">
  <dimension ref="B1:Y37"/>
  <sheetViews>
    <sheetView zoomScale="80" workbookViewId="0">
      <pane xSplit="3" ySplit="5" topLeftCell="D9" activePane="bottomRight" state="frozen"/>
      <selection pane="topRight"/>
      <selection pane="bottomLeft"/>
      <selection pane="bottomRight" activeCell="T38" sqref="T38"/>
    </sheetView>
  </sheetViews>
  <sheetFormatPr defaultColWidth="9" defaultRowHeight="12.9" x14ac:dyDescent="0.3"/>
  <cols>
    <col min="1" max="1" width="2.35546875" style="36" customWidth="1"/>
    <col min="2" max="2" width="4.2109375" style="37" customWidth="1"/>
    <col min="3" max="3" width="19.5" style="37" customWidth="1"/>
    <col min="4" max="4" width="7.85546875" style="37" customWidth="1"/>
    <col min="5" max="5" width="8.7109375" style="36" customWidth="1"/>
    <col min="6" max="6" width="7.35546875" style="36" customWidth="1"/>
    <col min="7" max="7" width="8.0703125" style="36" customWidth="1"/>
    <col min="8" max="8" width="8" style="36" customWidth="1"/>
    <col min="9" max="9" width="7" style="36" customWidth="1"/>
    <col min="10" max="10" width="7.5" style="36" customWidth="1"/>
    <col min="11" max="11" width="7" style="36" customWidth="1"/>
    <col min="12" max="12" width="7.35546875" style="36" customWidth="1"/>
    <col min="13" max="13" width="7" style="36" customWidth="1"/>
    <col min="14" max="14" width="7.0703125" style="36" customWidth="1"/>
    <col min="15" max="15" width="7" style="36" customWidth="1"/>
    <col min="16" max="25" width="7.85546875" style="36" customWidth="1"/>
    <col min="26" max="16384" width="9" style="36"/>
  </cols>
  <sheetData>
    <row r="1" spans="2:25" ht="27.75" customHeight="1" x14ac:dyDescent="0.3">
      <c r="B1" s="494" t="s">
        <v>221</v>
      </c>
      <c r="C1" s="494"/>
      <c r="D1" s="494"/>
      <c r="E1" s="494"/>
      <c r="F1" s="494"/>
      <c r="G1" s="494"/>
      <c r="H1" s="494"/>
      <c r="I1" s="494"/>
      <c r="J1" s="494"/>
      <c r="K1" s="494"/>
      <c r="L1" s="494"/>
      <c r="M1" s="494"/>
      <c r="N1" s="494"/>
      <c r="O1" s="494"/>
      <c r="P1" s="494"/>
      <c r="Q1" s="494"/>
      <c r="R1" s="494"/>
      <c r="S1" s="494"/>
      <c r="T1" s="494"/>
      <c r="U1" s="494"/>
      <c r="V1" s="494"/>
      <c r="W1" s="494"/>
      <c r="X1" s="494"/>
      <c r="Y1" s="494"/>
    </row>
    <row r="2" spans="2:25" ht="20.6" thickBot="1" x14ac:dyDescent="0.35">
      <c r="C2" s="38"/>
      <c r="D2" s="38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25" s="34" customFormat="1" ht="17.149999999999999" customHeight="1" x14ac:dyDescent="0.3">
      <c r="B3" s="497" t="s">
        <v>1</v>
      </c>
      <c r="C3" s="499" t="s">
        <v>64</v>
      </c>
      <c r="D3" s="40"/>
      <c r="E3" s="41" t="s">
        <v>125</v>
      </c>
      <c r="F3" s="41"/>
      <c r="G3" s="41"/>
      <c r="H3" s="499" t="s">
        <v>91</v>
      </c>
      <c r="I3" s="506"/>
      <c r="J3" s="506"/>
      <c r="K3" s="506"/>
      <c r="L3" s="506"/>
      <c r="M3" s="506"/>
      <c r="N3" s="506"/>
      <c r="O3" s="506"/>
      <c r="P3" s="506"/>
      <c r="Q3" s="506"/>
      <c r="R3" s="506"/>
      <c r="S3" s="506"/>
      <c r="T3" s="506"/>
      <c r="U3" s="506"/>
      <c r="V3" s="506"/>
      <c r="W3" s="506"/>
      <c r="X3" s="506"/>
      <c r="Y3" s="524" t="s">
        <v>68</v>
      </c>
    </row>
    <row r="4" spans="2:25" s="34" customFormat="1" ht="17.149999999999999" customHeight="1" x14ac:dyDescent="0.3">
      <c r="B4" s="498"/>
      <c r="C4" s="500"/>
      <c r="D4" s="5">
        <f>成本!D4</f>
        <v>1</v>
      </c>
      <c r="E4" s="5">
        <f>成本!E4</f>
        <v>1</v>
      </c>
      <c r="F4" s="5">
        <f>成本!F4</f>
        <v>2</v>
      </c>
      <c r="G4" s="5">
        <f>成本!G4</f>
        <v>3</v>
      </c>
      <c r="H4" s="5">
        <f>成本!H4</f>
        <v>4</v>
      </c>
      <c r="I4" s="5">
        <f>成本!I4</f>
        <v>5</v>
      </c>
      <c r="J4" s="5">
        <f>成本!J4</f>
        <v>6</v>
      </c>
      <c r="K4" s="5">
        <f>成本!K4</f>
        <v>7</v>
      </c>
      <c r="L4" s="5">
        <f>成本!L4</f>
        <v>8</v>
      </c>
      <c r="M4" s="5">
        <f>成本!M4</f>
        <v>9</v>
      </c>
      <c r="N4" s="5">
        <f>成本!N4</f>
        <v>10</v>
      </c>
      <c r="O4" s="5">
        <f>成本!O4</f>
        <v>11</v>
      </c>
      <c r="P4" s="5">
        <f>成本!P4</f>
        <v>12</v>
      </c>
      <c r="Q4" s="5">
        <f>成本!Q4</f>
        <v>13</v>
      </c>
      <c r="R4" s="5">
        <f>成本!R4</f>
        <v>14</v>
      </c>
      <c r="S4" s="5">
        <f>成本!S4</f>
        <v>15</v>
      </c>
      <c r="T4" s="5">
        <f>成本!T4</f>
        <v>16</v>
      </c>
      <c r="U4" s="5">
        <f>成本!U4</f>
        <v>17</v>
      </c>
      <c r="V4" s="5">
        <f>成本!V4</f>
        <v>18</v>
      </c>
      <c r="W4" s="5">
        <f>成本!W4</f>
        <v>19</v>
      </c>
      <c r="X4" s="5">
        <f>成本!X4</f>
        <v>20</v>
      </c>
      <c r="Y4" s="525"/>
    </row>
    <row r="5" spans="2:25" ht="17.149999999999999" customHeight="1" x14ac:dyDescent="0.3">
      <c r="B5" s="44">
        <v>1</v>
      </c>
      <c r="C5" s="45" t="s">
        <v>82</v>
      </c>
      <c r="D5" s="45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61"/>
      <c r="V5" s="61"/>
      <c r="W5" s="61"/>
      <c r="X5" s="61"/>
      <c r="Y5" s="62"/>
    </row>
    <row r="6" spans="2:25" ht="16.5" customHeight="1" x14ac:dyDescent="0.35">
      <c r="B6" s="42">
        <v>1.1000000000000001</v>
      </c>
      <c r="C6" s="47" t="s">
        <v>222</v>
      </c>
      <c r="D6" s="48">
        <f>D8+D7</f>
        <v>34492.098929371728</v>
      </c>
      <c r="E6" s="48">
        <f>E8+E7</f>
        <v>34492.098929371728</v>
      </c>
      <c r="F6" s="49">
        <f t="shared" ref="F6:R6" si="0">F7+F8</f>
        <v>32880.439515838661</v>
      </c>
      <c r="G6" s="49">
        <f t="shared" si="0"/>
        <v>31189.808791042477</v>
      </c>
      <c r="H6" s="49">
        <f t="shared" si="0"/>
        <v>29416.33716073128</v>
      </c>
      <c r="I6" s="49">
        <f t="shared" si="0"/>
        <v>27555.965420534834</v>
      </c>
      <c r="J6" s="49">
        <f t="shared" si="0"/>
        <v>25604.435465068764</v>
      </c>
      <c r="K6" s="49">
        <f t="shared" si="0"/>
        <v>23557.280541784854</v>
      </c>
      <c r="L6" s="49">
        <f t="shared" si="0"/>
        <v>21409.815027260032</v>
      </c>
      <c r="M6" s="49">
        <f t="shared" si="0"/>
        <v>19157.123702523495</v>
      </c>
      <c r="N6" s="49">
        <f t="shared" si="0"/>
        <v>16794.050502874867</v>
      </c>
      <c r="O6" s="49">
        <f t="shared" si="0"/>
        <v>14315.186716443455</v>
      </c>
      <c r="P6" s="49">
        <f t="shared" si="0"/>
        <v>11714.858604476905</v>
      </c>
      <c r="Q6" s="49">
        <f t="shared" si="0"/>
        <v>8987.1144150239943</v>
      </c>
      <c r="R6" s="49">
        <f t="shared" si="0"/>
        <v>6125.7107602878914</v>
      </c>
      <c r="S6" s="49">
        <f t="shared" ref="S6:X6" si="1">S7+S8</f>
        <v>3124.0983264697193</v>
      </c>
      <c r="T6" s="49">
        <f t="shared" si="1"/>
        <v>-24.593116605543401</v>
      </c>
      <c r="U6" s="49">
        <f t="shared" si="1"/>
        <v>-24.593116605543401</v>
      </c>
      <c r="V6" s="49">
        <f t="shared" si="1"/>
        <v>-24.593116605543401</v>
      </c>
      <c r="W6" s="49">
        <f t="shared" si="1"/>
        <v>-24.593116605543401</v>
      </c>
      <c r="X6" s="49">
        <f t="shared" si="1"/>
        <v>-24.593116605543401</v>
      </c>
      <c r="Y6" s="62"/>
    </row>
    <row r="7" spans="2:25" ht="17.149999999999999" customHeight="1" x14ac:dyDescent="0.35">
      <c r="B7" s="201" t="s">
        <v>202</v>
      </c>
      <c r="C7" s="47" t="s">
        <v>223</v>
      </c>
      <c r="D7" s="48">
        <f>投资计划!F16</f>
        <v>33801.975267657064</v>
      </c>
      <c r="E7" s="48">
        <f>SUM(D6:D6)</f>
        <v>34492.098929371728</v>
      </c>
      <c r="F7" s="49">
        <f>E6-E10</f>
        <v>32880.439515838661</v>
      </c>
      <c r="G7" s="49">
        <f t="shared" ref="G7:X7" si="2">F6-F10</f>
        <v>31189.808791042477</v>
      </c>
      <c r="H7" s="49">
        <f t="shared" si="2"/>
        <v>29416.33716073128</v>
      </c>
      <c r="I7" s="49">
        <f t="shared" si="2"/>
        <v>27555.965420534834</v>
      </c>
      <c r="J7" s="49">
        <f t="shared" si="2"/>
        <v>25604.435465068764</v>
      </c>
      <c r="K7" s="49">
        <f t="shared" si="2"/>
        <v>23557.280541784854</v>
      </c>
      <c r="L7" s="49">
        <f t="shared" si="2"/>
        <v>21409.815027260032</v>
      </c>
      <c r="M7" s="49">
        <f t="shared" si="2"/>
        <v>19157.123702523495</v>
      </c>
      <c r="N7" s="49">
        <f t="shared" si="2"/>
        <v>16794.050502874867</v>
      </c>
      <c r="O7" s="49">
        <f t="shared" si="2"/>
        <v>14315.186716443455</v>
      </c>
      <c r="P7" s="49">
        <f t="shared" si="2"/>
        <v>11714.858604476905</v>
      </c>
      <c r="Q7" s="49">
        <f t="shared" si="2"/>
        <v>8987.1144150239943</v>
      </c>
      <c r="R7" s="49">
        <f t="shared" si="2"/>
        <v>6125.7107602878914</v>
      </c>
      <c r="S7" s="49">
        <f t="shared" si="2"/>
        <v>3124.0983264697193</v>
      </c>
      <c r="T7" s="49">
        <f t="shared" si="2"/>
        <v>-24.593116605543401</v>
      </c>
      <c r="U7" s="49">
        <f t="shared" si="2"/>
        <v>-24.593116605543401</v>
      </c>
      <c r="V7" s="49">
        <f t="shared" si="2"/>
        <v>-24.593116605543401</v>
      </c>
      <c r="W7" s="49">
        <f t="shared" si="2"/>
        <v>-24.593116605543401</v>
      </c>
      <c r="X7" s="49">
        <f t="shared" si="2"/>
        <v>-24.593116605543401</v>
      </c>
      <c r="Y7" s="62"/>
    </row>
    <row r="8" spans="2:25" ht="17.149999999999999" customHeight="1" x14ac:dyDescent="0.35">
      <c r="B8" s="201" t="s">
        <v>204</v>
      </c>
      <c r="C8" s="47" t="s">
        <v>224</v>
      </c>
      <c r="D8" s="48">
        <f>投资计划!F7</f>
        <v>690.12366171466522</v>
      </c>
      <c r="E8" s="48">
        <f>投资计划!G7</f>
        <v>0</v>
      </c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62"/>
    </row>
    <row r="9" spans="2:25" ht="16.5" customHeight="1" x14ac:dyDescent="0.35">
      <c r="B9" s="201" t="s">
        <v>151</v>
      </c>
      <c r="C9" s="47" t="s">
        <v>225</v>
      </c>
      <c r="D9" s="47"/>
      <c r="E9" s="48">
        <f t="shared" ref="E9:S9" si="3">$E$35</f>
        <v>3301.772261072279</v>
      </c>
      <c r="F9" s="48">
        <f t="shared" si="3"/>
        <v>3301.772261072279</v>
      </c>
      <c r="G9" s="48">
        <f t="shared" si="3"/>
        <v>3301.772261072279</v>
      </c>
      <c r="H9" s="48">
        <f t="shared" si="3"/>
        <v>3301.772261072279</v>
      </c>
      <c r="I9" s="48">
        <f t="shared" si="3"/>
        <v>3301.772261072279</v>
      </c>
      <c r="J9" s="48">
        <f t="shared" si="3"/>
        <v>3301.772261072279</v>
      </c>
      <c r="K9" s="48">
        <f t="shared" si="3"/>
        <v>3301.772261072279</v>
      </c>
      <c r="L9" s="48">
        <f t="shared" si="3"/>
        <v>3301.772261072279</v>
      </c>
      <c r="M9" s="48">
        <f t="shared" si="3"/>
        <v>3301.772261072279</v>
      </c>
      <c r="N9" s="48">
        <f t="shared" si="3"/>
        <v>3301.772261072279</v>
      </c>
      <c r="O9" s="48">
        <f t="shared" si="3"/>
        <v>3301.772261072279</v>
      </c>
      <c r="P9" s="48">
        <f t="shared" si="3"/>
        <v>3301.772261072279</v>
      </c>
      <c r="Q9" s="48">
        <f t="shared" si="3"/>
        <v>3301.772261072279</v>
      </c>
      <c r="R9" s="48">
        <f t="shared" si="3"/>
        <v>3301.772261072279</v>
      </c>
      <c r="S9" s="48">
        <f t="shared" si="3"/>
        <v>3301.772261072279</v>
      </c>
      <c r="T9" s="49">
        <f>T10+T11</f>
        <v>-1.2050627136716268</v>
      </c>
      <c r="U9" s="49">
        <f>U10+U11</f>
        <v>-1.2050627136716268</v>
      </c>
      <c r="V9" s="49">
        <f>V10+V11</f>
        <v>-1.2050627136716268</v>
      </c>
      <c r="W9" s="49">
        <f>W10+W11</f>
        <v>-1.2050627136716268</v>
      </c>
      <c r="X9" s="49">
        <f>X10+X11</f>
        <v>-1.2050627136716268</v>
      </c>
      <c r="Y9" s="62"/>
    </row>
    <row r="10" spans="2:25" ht="16.5" customHeight="1" x14ac:dyDescent="0.35">
      <c r="B10" s="42"/>
      <c r="C10" s="47" t="s">
        <v>226</v>
      </c>
      <c r="D10" s="47"/>
      <c r="E10" s="49">
        <f t="shared" ref="E10:S10" si="4">E36</f>
        <v>1611.6594135330643</v>
      </c>
      <c r="F10" s="49">
        <f t="shared" si="4"/>
        <v>1690.6307247961845</v>
      </c>
      <c r="G10" s="49">
        <f t="shared" si="4"/>
        <v>1773.4716303111975</v>
      </c>
      <c r="H10" s="49">
        <f t="shared" si="4"/>
        <v>1860.3717401964461</v>
      </c>
      <c r="I10" s="49">
        <f t="shared" si="4"/>
        <v>1951.5299554660721</v>
      </c>
      <c r="J10" s="49">
        <f t="shared" si="4"/>
        <v>2047.1549232839095</v>
      </c>
      <c r="K10" s="49">
        <f t="shared" si="4"/>
        <v>2147.4655145248212</v>
      </c>
      <c r="L10" s="49">
        <f t="shared" si="4"/>
        <v>2252.6913247365374</v>
      </c>
      <c r="M10" s="49">
        <f t="shared" si="4"/>
        <v>2363.0731996486275</v>
      </c>
      <c r="N10" s="49">
        <f t="shared" si="4"/>
        <v>2478.8637864314105</v>
      </c>
      <c r="O10" s="49">
        <f t="shared" si="4"/>
        <v>2600.3281119665498</v>
      </c>
      <c r="P10" s="49">
        <f t="shared" si="4"/>
        <v>2727.7441894529106</v>
      </c>
      <c r="Q10" s="49">
        <f t="shared" si="4"/>
        <v>2861.4036547361034</v>
      </c>
      <c r="R10" s="49">
        <f t="shared" si="4"/>
        <v>3001.6124338181721</v>
      </c>
      <c r="S10" s="49">
        <f t="shared" si="4"/>
        <v>3148.6914430752627</v>
      </c>
      <c r="T10" s="49">
        <f>T37</f>
        <v>0</v>
      </c>
      <c r="U10" s="49">
        <f>U37</f>
        <v>0</v>
      </c>
      <c r="V10" s="49">
        <f>V37</f>
        <v>0</v>
      </c>
      <c r="W10" s="49">
        <f>W37</f>
        <v>0</v>
      </c>
      <c r="X10" s="49">
        <f>X37</f>
        <v>0</v>
      </c>
      <c r="Y10" s="62"/>
    </row>
    <row r="11" spans="2:25" ht="17.149999999999999" customHeight="1" x14ac:dyDescent="0.35">
      <c r="B11" s="42"/>
      <c r="C11" s="47" t="s">
        <v>227</v>
      </c>
      <c r="D11" s="47"/>
      <c r="E11" s="49">
        <f>E6*参数表!$C$26</f>
        <v>1690.1128475392147</v>
      </c>
      <c r="F11" s="49">
        <f>F6*参数表!$C$26</f>
        <v>1611.1415362760945</v>
      </c>
      <c r="G11" s="49">
        <f>G6*参数表!$C$26</f>
        <v>1528.3006307610815</v>
      </c>
      <c r="H11" s="49">
        <f>H6*参数表!$C$26</f>
        <v>1441.4005208758329</v>
      </c>
      <c r="I11" s="49">
        <f>I6*参数表!$C$26</f>
        <v>1350.2423056062069</v>
      </c>
      <c r="J11" s="49">
        <f>J6*参数表!$C$26</f>
        <v>1254.6173377883695</v>
      </c>
      <c r="K11" s="49">
        <f>K6*参数表!$C$26</f>
        <v>1154.3067465474578</v>
      </c>
      <c r="L11" s="49">
        <f>L6*参数表!$C$26</f>
        <v>1049.0809363357416</v>
      </c>
      <c r="M11" s="49">
        <f>M6*参数表!$C$26</f>
        <v>938.6990614236513</v>
      </c>
      <c r="N11" s="49">
        <f>N6*参数表!$C$26</f>
        <v>822.90847464086846</v>
      </c>
      <c r="O11" s="49">
        <f>O6*参数表!$C$26</f>
        <v>701.44414910572937</v>
      </c>
      <c r="P11" s="49">
        <f>P6*参数表!$C$26</f>
        <v>574.02807161936835</v>
      </c>
      <c r="Q11" s="49">
        <f>Q6*参数表!$C$26</f>
        <v>440.36860633617573</v>
      </c>
      <c r="R11" s="49">
        <f>R6*参数表!$C$26</f>
        <v>300.15982725410669</v>
      </c>
      <c r="S11" s="49">
        <f>S6*参数表!$C$26</f>
        <v>153.08081799701625</v>
      </c>
      <c r="T11" s="49">
        <f>T6*参数表!$C$26</f>
        <v>-1.2050627136716268</v>
      </c>
      <c r="U11" s="49">
        <f>U6*参数表!$C$26</f>
        <v>-1.2050627136716268</v>
      </c>
      <c r="V11" s="49">
        <f>V6*参数表!$C$26</f>
        <v>-1.2050627136716268</v>
      </c>
      <c r="W11" s="49">
        <f>W6*参数表!$C$26</f>
        <v>-1.2050627136716268</v>
      </c>
      <c r="X11" s="49">
        <f>X6*参数表!$C$26</f>
        <v>-1.2050627136716268</v>
      </c>
      <c r="Y11" s="62"/>
    </row>
    <row r="12" spans="2:25" s="35" customFormat="1" ht="17.149999999999999" customHeight="1" x14ac:dyDescent="0.3">
      <c r="B12" s="44">
        <v>2</v>
      </c>
      <c r="C12" s="202" t="s">
        <v>84</v>
      </c>
      <c r="D12" s="45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63"/>
    </row>
    <row r="13" spans="2:25" ht="17.149999999999999" customHeight="1" x14ac:dyDescent="0.35">
      <c r="B13" s="42">
        <v>2.1</v>
      </c>
      <c r="C13" s="47" t="s">
        <v>222</v>
      </c>
      <c r="D13" s="47"/>
      <c r="E13" s="48">
        <f>投资计划!G18</f>
        <v>60</v>
      </c>
      <c r="F13" s="48">
        <f>E13</f>
        <v>60</v>
      </c>
      <c r="G13" s="48">
        <f>F13</f>
        <v>60</v>
      </c>
      <c r="H13" s="48">
        <f t="shared" ref="H13:X13" si="5">G13</f>
        <v>60</v>
      </c>
      <c r="I13" s="48">
        <f t="shared" si="5"/>
        <v>60</v>
      </c>
      <c r="J13" s="48">
        <f t="shared" si="5"/>
        <v>60</v>
      </c>
      <c r="K13" s="48">
        <f t="shared" si="5"/>
        <v>60</v>
      </c>
      <c r="L13" s="48">
        <f t="shared" si="5"/>
        <v>60</v>
      </c>
      <c r="M13" s="48">
        <f t="shared" si="5"/>
        <v>60</v>
      </c>
      <c r="N13" s="48">
        <f t="shared" si="5"/>
        <v>60</v>
      </c>
      <c r="O13" s="48">
        <f t="shared" si="5"/>
        <v>60</v>
      </c>
      <c r="P13" s="48">
        <f t="shared" si="5"/>
        <v>60</v>
      </c>
      <c r="Q13" s="48">
        <f t="shared" si="5"/>
        <v>60</v>
      </c>
      <c r="R13" s="48">
        <f t="shared" si="5"/>
        <v>60</v>
      </c>
      <c r="S13" s="48">
        <f t="shared" si="5"/>
        <v>60</v>
      </c>
      <c r="T13" s="48">
        <f t="shared" si="5"/>
        <v>60</v>
      </c>
      <c r="U13" s="48">
        <f t="shared" si="5"/>
        <v>60</v>
      </c>
      <c r="V13" s="48">
        <f t="shared" si="5"/>
        <v>60</v>
      </c>
      <c r="W13" s="48">
        <f t="shared" si="5"/>
        <v>60</v>
      </c>
      <c r="X13" s="48">
        <f t="shared" si="5"/>
        <v>60</v>
      </c>
      <c r="Y13" s="62"/>
    </row>
    <row r="14" spans="2:25" ht="17.149999999999999" customHeight="1" x14ac:dyDescent="0.35">
      <c r="B14" s="42">
        <v>2.2000000000000002</v>
      </c>
      <c r="C14" s="47" t="s">
        <v>225</v>
      </c>
      <c r="D14" s="47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62"/>
    </row>
    <row r="15" spans="2:25" ht="17.149999999999999" customHeight="1" x14ac:dyDescent="0.35">
      <c r="B15" s="42"/>
      <c r="C15" s="47" t="s">
        <v>226</v>
      </c>
      <c r="D15" s="47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62"/>
    </row>
    <row r="16" spans="2:25" ht="17.149999999999999" customHeight="1" x14ac:dyDescent="0.35">
      <c r="B16" s="42"/>
      <c r="C16" s="47" t="s">
        <v>227</v>
      </c>
      <c r="D16" s="47"/>
      <c r="E16" s="48">
        <f>E13*流动资金贷款利率</f>
        <v>2.61</v>
      </c>
      <c r="F16" s="48">
        <f t="shared" ref="F16:X16" si="6">F13*流动资金贷款利率</f>
        <v>2.61</v>
      </c>
      <c r="G16" s="48">
        <f t="shared" si="6"/>
        <v>2.61</v>
      </c>
      <c r="H16" s="48">
        <f t="shared" si="6"/>
        <v>2.61</v>
      </c>
      <c r="I16" s="48">
        <f t="shared" si="6"/>
        <v>2.61</v>
      </c>
      <c r="J16" s="48">
        <f t="shared" si="6"/>
        <v>2.61</v>
      </c>
      <c r="K16" s="48">
        <f t="shared" si="6"/>
        <v>2.61</v>
      </c>
      <c r="L16" s="48">
        <f t="shared" si="6"/>
        <v>2.61</v>
      </c>
      <c r="M16" s="48">
        <f t="shared" si="6"/>
        <v>2.61</v>
      </c>
      <c r="N16" s="48">
        <f t="shared" si="6"/>
        <v>2.61</v>
      </c>
      <c r="O16" s="48">
        <f t="shared" si="6"/>
        <v>2.61</v>
      </c>
      <c r="P16" s="48">
        <f t="shared" si="6"/>
        <v>2.61</v>
      </c>
      <c r="Q16" s="48">
        <f t="shared" si="6"/>
        <v>2.61</v>
      </c>
      <c r="R16" s="48">
        <f t="shared" si="6"/>
        <v>2.61</v>
      </c>
      <c r="S16" s="48">
        <f t="shared" si="6"/>
        <v>2.61</v>
      </c>
      <c r="T16" s="48">
        <f t="shared" si="6"/>
        <v>2.61</v>
      </c>
      <c r="U16" s="48">
        <f t="shared" si="6"/>
        <v>2.61</v>
      </c>
      <c r="V16" s="48">
        <f t="shared" si="6"/>
        <v>2.61</v>
      </c>
      <c r="W16" s="48">
        <f t="shared" si="6"/>
        <v>2.61</v>
      </c>
      <c r="X16" s="48">
        <f t="shared" si="6"/>
        <v>2.61</v>
      </c>
      <c r="Y16" s="62"/>
    </row>
    <row r="17" spans="2:25" ht="17.149999999999999" customHeight="1" x14ac:dyDescent="0.35">
      <c r="B17" s="44">
        <v>3</v>
      </c>
      <c r="C17" s="51" t="s">
        <v>213</v>
      </c>
      <c r="D17" s="51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62"/>
    </row>
    <row r="18" spans="2:25" ht="17.149999999999999" customHeight="1" x14ac:dyDescent="0.35">
      <c r="B18" s="42">
        <v>3.1</v>
      </c>
      <c r="C18" s="47" t="s">
        <v>222</v>
      </c>
      <c r="D18" s="48" t="e">
        <f>财务计划!#REF!</f>
        <v>#REF!</v>
      </c>
      <c r="E18" s="48">
        <f>财务计划!D22</f>
        <v>0</v>
      </c>
      <c r="F18" s="48">
        <f>财务计划!E22</f>
        <v>1700.1483300732941</v>
      </c>
      <c r="G18" s="48">
        <f>财务计划!F22</f>
        <v>3370.8117433857378</v>
      </c>
      <c r="H18" s="49">
        <f>财务计划!G22</f>
        <v>5156.5676460582335</v>
      </c>
      <c r="I18" s="49">
        <f>财务计划!H22</f>
        <v>7013.8025613779437</v>
      </c>
      <c r="J18" s="49">
        <f>财务计划!I22</f>
        <v>8945.6258263950222</v>
      </c>
      <c r="K18" s="49">
        <f>财务计划!J22</f>
        <v>11268.614368756957</v>
      </c>
      <c r="L18" s="49">
        <f>财务计划!K22</f>
        <v>13686.451543592597</v>
      </c>
      <c r="M18" s="49">
        <f>财务计划!L22</f>
        <v>16203.263266414548</v>
      </c>
      <c r="N18" s="49">
        <f>财务计划!M22</f>
        <v>18823.354930060214</v>
      </c>
      <c r="O18" s="49">
        <f>财务计划!N22</f>
        <v>21551.219211955427</v>
      </c>
      <c r="P18" s="49">
        <f>财务计划!O22</f>
        <v>24587.376930016326</v>
      </c>
      <c r="Q18" s="49">
        <f>财务计划!P22</f>
        <v>27749.406139693834</v>
      </c>
      <c r="R18" s="49">
        <f>财务计划!Q22</f>
        <v>31042.782250873279</v>
      </c>
      <c r="S18" s="49">
        <f>财务计划!R22</f>
        <v>34473.218853769991</v>
      </c>
      <c r="T18" s="49">
        <f>财务计划!S22</f>
        <v>38046.678079773672</v>
      </c>
      <c r="U18" s="49">
        <f>财务计划!T22</f>
        <v>38668.438167344844</v>
      </c>
      <c r="V18" s="49">
        <f>财务计划!V22</f>
        <v>40160.390792471757</v>
      </c>
      <c r="W18" s="49">
        <f>财务计划!W22</f>
        <v>41015.387963576264</v>
      </c>
      <c r="X18" s="49">
        <f>财务计划!X22</f>
        <v>41907.577511623822</v>
      </c>
      <c r="Y18" s="62"/>
    </row>
    <row r="19" spans="2:25" ht="17.149999999999999" customHeight="1" x14ac:dyDescent="0.35">
      <c r="B19" s="42">
        <v>3.2</v>
      </c>
      <c r="C19" s="47" t="s">
        <v>225</v>
      </c>
      <c r="D19" s="47"/>
      <c r="E19" s="49"/>
      <c r="F19" s="49"/>
      <c r="G19" s="48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62"/>
    </row>
    <row r="20" spans="2:25" ht="17.149999999999999" customHeight="1" x14ac:dyDescent="0.35">
      <c r="B20" s="42"/>
      <c r="C20" s="47" t="s">
        <v>226</v>
      </c>
      <c r="D20" s="48">
        <f>财务计划!D28</f>
        <v>0</v>
      </c>
      <c r="E20" s="49">
        <f>财务计划!E28</f>
        <v>0</v>
      </c>
      <c r="F20" s="49">
        <f>财务计划!F28</f>
        <v>1700.1483300732941</v>
      </c>
      <c r="G20" s="49">
        <f>财务计划!G28</f>
        <v>3370.8117433857378</v>
      </c>
      <c r="H20" s="49">
        <f>财务计划!H28</f>
        <v>5156.5676460582335</v>
      </c>
      <c r="I20" s="49">
        <f>财务计划!I28</f>
        <v>7013.8025613779437</v>
      </c>
      <c r="J20" s="49">
        <f>财务计划!J28</f>
        <v>8945.6258263950222</v>
      </c>
      <c r="K20" s="49">
        <f>财务计划!K28</f>
        <v>11268.614368756957</v>
      </c>
      <c r="L20" s="49">
        <f>财务计划!L28</f>
        <v>13686.451543592597</v>
      </c>
      <c r="M20" s="49">
        <f>财务计划!M28</f>
        <v>16203.263266414548</v>
      </c>
      <c r="N20" s="49">
        <f>财务计划!N28</f>
        <v>18823.354930060214</v>
      </c>
      <c r="O20" s="49">
        <f>财务计划!O28</f>
        <v>21551.219211955427</v>
      </c>
      <c r="P20" s="49">
        <f>财务计划!P28</f>
        <v>24587.376930016326</v>
      </c>
      <c r="Q20" s="49">
        <f>财务计划!Q28</f>
        <v>27749.406139693834</v>
      </c>
      <c r="R20" s="49">
        <f>财务计划!R28</f>
        <v>31042.782250873279</v>
      </c>
      <c r="S20" s="49">
        <f>财务计划!S28</f>
        <v>34473.218853769991</v>
      </c>
      <c r="T20" s="49">
        <f>财务计划!T28</f>
        <v>38046.678079773672</v>
      </c>
      <c r="U20" s="49">
        <f>财务计划!U28</f>
        <v>38668.438167344844</v>
      </c>
      <c r="V20" s="49">
        <f>财务计划!V28</f>
        <v>39341.035573396999</v>
      </c>
      <c r="W20" s="49">
        <f>财务计划!W28</f>
        <v>40160.390792471757</v>
      </c>
      <c r="X20" s="49">
        <f>财务计划!X28</f>
        <v>41015.387963576264</v>
      </c>
      <c r="Y20" s="62"/>
    </row>
    <row r="21" spans="2:25" ht="17.149999999999999" customHeight="1" x14ac:dyDescent="0.35">
      <c r="B21" s="42"/>
      <c r="C21" s="47" t="s">
        <v>227</v>
      </c>
      <c r="D21" s="48">
        <f t="shared" ref="D21:Q21" si="7">D20*短期贷款利息</f>
        <v>0</v>
      </c>
      <c r="E21" s="49">
        <f t="shared" si="7"/>
        <v>0</v>
      </c>
      <c r="F21" s="49">
        <f t="shared" si="7"/>
        <v>73.956452358188287</v>
      </c>
      <c r="G21" s="49">
        <f t="shared" si="7"/>
        <v>146.63031083727958</v>
      </c>
      <c r="H21" s="49">
        <f t="shared" si="7"/>
        <v>224.31069260353314</v>
      </c>
      <c r="I21" s="49">
        <f t="shared" si="7"/>
        <v>305.10041141994054</v>
      </c>
      <c r="J21" s="49">
        <f t="shared" si="7"/>
        <v>389.13472344818342</v>
      </c>
      <c r="K21" s="49">
        <f t="shared" si="7"/>
        <v>490.18472504092756</v>
      </c>
      <c r="L21" s="49">
        <f t="shared" si="7"/>
        <v>595.36064214627788</v>
      </c>
      <c r="M21" s="49">
        <f t="shared" si="7"/>
        <v>704.84195208903282</v>
      </c>
      <c r="N21" s="49">
        <f t="shared" si="7"/>
        <v>818.81593945761927</v>
      </c>
      <c r="O21" s="49">
        <f t="shared" si="7"/>
        <v>937.47803572006103</v>
      </c>
      <c r="P21" s="49">
        <f t="shared" si="7"/>
        <v>1069.55089645571</v>
      </c>
      <c r="Q21" s="49">
        <f t="shared" si="7"/>
        <v>1207.0991670766816</v>
      </c>
      <c r="R21" s="49">
        <f t="shared" ref="R21:X21" si="8">R20*短期贷款利息</f>
        <v>1350.3610279129875</v>
      </c>
      <c r="S21" s="49">
        <f t="shared" si="8"/>
        <v>1499.5850201389944</v>
      </c>
      <c r="T21" s="49">
        <f t="shared" si="8"/>
        <v>1655.0304964701545</v>
      </c>
      <c r="U21" s="49">
        <f t="shared" si="8"/>
        <v>1682.0770602795005</v>
      </c>
      <c r="V21" s="49">
        <f t="shared" si="8"/>
        <v>1711.3350474427693</v>
      </c>
      <c r="W21" s="49">
        <f t="shared" si="8"/>
        <v>1746.9769994725214</v>
      </c>
      <c r="X21" s="49">
        <f t="shared" si="8"/>
        <v>1784.1693764155673</v>
      </c>
      <c r="Y21" s="62"/>
    </row>
    <row r="22" spans="2:25" ht="17.149999999999999" customHeight="1" x14ac:dyDescent="0.35">
      <c r="B22" s="44">
        <v>4</v>
      </c>
      <c r="C22" s="51" t="s">
        <v>228</v>
      </c>
      <c r="D22" s="51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62"/>
    </row>
    <row r="23" spans="2:25" ht="17.149999999999999" customHeight="1" x14ac:dyDescent="0.35">
      <c r="B23" s="42">
        <v>4.0999999999999996</v>
      </c>
      <c r="C23" s="47" t="s">
        <v>222</v>
      </c>
      <c r="D23" s="47"/>
      <c r="E23" s="49">
        <f t="shared" ref="E23:X23" si="9">E6+E13+E18</f>
        <v>34552.098929371728</v>
      </c>
      <c r="F23" s="49">
        <f t="shared" si="9"/>
        <v>34640.587845911956</v>
      </c>
      <c r="G23" s="49">
        <f t="shared" si="9"/>
        <v>34620.620534428213</v>
      </c>
      <c r="H23" s="49">
        <f t="shared" si="9"/>
        <v>34632.904806789513</v>
      </c>
      <c r="I23" s="49">
        <f t="shared" si="9"/>
        <v>34629.767981912781</v>
      </c>
      <c r="J23" s="49">
        <f t="shared" si="9"/>
        <v>34610.06129146379</v>
      </c>
      <c r="K23" s="49">
        <f t="shared" si="9"/>
        <v>34885.894910541814</v>
      </c>
      <c r="L23" s="49">
        <f t="shared" si="9"/>
        <v>35156.266570852633</v>
      </c>
      <c r="M23" s="49">
        <f t="shared" si="9"/>
        <v>35420.386968938044</v>
      </c>
      <c r="N23" s="49">
        <f t="shared" si="9"/>
        <v>35677.405432935077</v>
      </c>
      <c r="O23" s="49">
        <f t="shared" si="9"/>
        <v>35926.405928398883</v>
      </c>
      <c r="P23" s="49">
        <f t="shared" si="9"/>
        <v>36362.235534493229</v>
      </c>
      <c r="Q23" s="49">
        <f t="shared" si="9"/>
        <v>36796.520554717827</v>
      </c>
      <c r="R23" s="49">
        <f t="shared" si="9"/>
        <v>37228.493011161168</v>
      </c>
      <c r="S23" s="49">
        <f t="shared" si="9"/>
        <v>37657.317180239712</v>
      </c>
      <c r="T23" s="49">
        <f t="shared" si="9"/>
        <v>38082.084963168127</v>
      </c>
      <c r="U23" s="49">
        <f t="shared" si="9"/>
        <v>38703.845050739299</v>
      </c>
      <c r="V23" s="49">
        <f t="shared" si="9"/>
        <v>40195.797675866212</v>
      </c>
      <c r="W23" s="49">
        <f t="shared" si="9"/>
        <v>41050.794846970719</v>
      </c>
      <c r="X23" s="49">
        <f t="shared" si="9"/>
        <v>41942.984395018277</v>
      </c>
      <c r="Y23" s="62"/>
    </row>
    <row r="24" spans="2:25" ht="17.149999999999999" customHeight="1" x14ac:dyDescent="0.35">
      <c r="B24" s="42">
        <v>4.2</v>
      </c>
      <c r="C24" s="47" t="s">
        <v>225</v>
      </c>
      <c r="D24" s="47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49"/>
      <c r="R24" s="49"/>
      <c r="S24" s="49"/>
      <c r="T24" s="49"/>
      <c r="U24" s="49"/>
      <c r="V24" s="49"/>
      <c r="W24" s="49"/>
      <c r="X24" s="49"/>
      <c r="Y24" s="62"/>
    </row>
    <row r="25" spans="2:25" ht="17.149999999999999" customHeight="1" x14ac:dyDescent="0.35">
      <c r="B25" s="42"/>
      <c r="C25" s="47" t="s">
        <v>226</v>
      </c>
      <c r="D25" s="47"/>
      <c r="E25" s="49">
        <f t="shared" ref="E25:X25" si="10">E10+E15+E20</f>
        <v>1611.6594135330643</v>
      </c>
      <c r="F25" s="49">
        <f t="shared" si="10"/>
        <v>3390.7790548694784</v>
      </c>
      <c r="G25" s="49">
        <f t="shared" si="10"/>
        <v>5144.2833736969351</v>
      </c>
      <c r="H25" s="49">
        <f t="shared" si="10"/>
        <v>7016.9393862546794</v>
      </c>
      <c r="I25" s="49">
        <f t="shared" si="10"/>
        <v>8965.3325168440151</v>
      </c>
      <c r="J25" s="49">
        <f t="shared" si="10"/>
        <v>10992.780749678932</v>
      </c>
      <c r="K25" s="49">
        <f t="shared" si="10"/>
        <v>13416.079883281778</v>
      </c>
      <c r="L25" s="49">
        <f t="shared" si="10"/>
        <v>15939.142868329134</v>
      </c>
      <c r="M25" s="49">
        <f t="shared" si="10"/>
        <v>18566.336466063174</v>
      </c>
      <c r="N25" s="49">
        <f t="shared" si="10"/>
        <v>21302.218716491625</v>
      </c>
      <c r="O25" s="49">
        <f t="shared" si="10"/>
        <v>24151.547323921979</v>
      </c>
      <c r="P25" s="49">
        <f t="shared" si="10"/>
        <v>27315.121119469237</v>
      </c>
      <c r="Q25" s="49">
        <f t="shared" si="10"/>
        <v>30610.809794429937</v>
      </c>
      <c r="R25" s="49">
        <f t="shared" si="10"/>
        <v>34044.394684691448</v>
      </c>
      <c r="S25" s="49">
        <f t="shared" si="10"/>
        <v>37621.910296845257</v>
      </c>
      <c r="T25" s="49">
        <f t="shared" si="10"/>
        <v>38046.678079773672</v>
      </c>
      <c r="U25" s="49">
        <f t="shared" si="10"/>
        <v>38668.438167344844</v>
      </c>
      <c r="V25" s="49">
        <f t="shared" si="10"/>
        <v>39341.035573396999</v>
      </c>
      <c r="W25" s="49">
        <f t="shared" si="10"/>
        <v>40160.390792471757</v>
      </c>
      <c r="X25" s="49">
        <f t="shared" si="10"/>
        <v>41015.387963576264</v>
      </c>
      <c r="Y25" s="62"/>
    </row>
    <row r="26" spans="2:25" ht="17.149999999999999" customHeight="1" x14ac:dyDescent="0.35">
      <c r="B26" s="42"/>
      <c r="C26" s="47" t="s">
        <v>227</v>
      </c>
      <c r="D26" s="47"/>
      <c r="E26" s="49">
        <f t="shared" ref="E26:X26" si="11">E11+E16+E21</f>
        <v>1692.7228475392146</v>
      </c>
      <c r="F26" s="49">
        <f t="shared" si="11"/>
        <v>1687.7079886342826</v>
      </c>
      <c r="G26" s="49">
        <f t="shared" si="11"/>
        <v>1677.5409415983609</v>
      </c>
      <c r="H26" s="49">
        <f t="shared" si="11"/>
        <v>1668.321213479366</v>
      </c>
      <c r="I26" s="49">
        <f t="shared" si="11"/>
        <v>1657.9527170261472</v>
      </c>
      <c r="J26" s="49">
        <f t="shared" si="11"/>
        <v>1646.3620612365528</v>
      </c>
      <c r="K26" s="49">
        <f t="shared" si="11"/>
        <v>1647.1014715883853</v>
      </c>
      <c r="L26" s="49">
        <f t="shared" si="11"/>
        <v>1647.0515784820195</v>
      </c>
      <c r="M26" s="49">
        <f t="shared" si="11"/>
        <v>1646.1510135126841</v>
      </c>
      <c r="N26" s="49">
        <f t="shared" si="11"/>
        <v>1644.3344140984877</v>
      </c>
      <c r="O26" s="49">
        <f t="shared" si="11"/>
        <v>1641.5321848257904</v>
      </c>
      <c r="P26" s="49">
        <f t="shared" si="11"/>
        <v>1646.1889680750783</v>
      </c>
      <c r="Q26" s="49">
        <f t="shared" si="11"/>
        <v>1650.0777734128574</v>
      </c>
      <c r="R26" s="49">
        <f t="shared" si="11"/>
        <v>1653.1308551670943</v>
      </c>
      <c r="S26" s="49">
        <f t="shared" si="11"/>
        <v>1655.2758381360106</v>
      </c>
      <c r="T26" s="49">
        <f t="shared" si="11"/>
        <v>1656.4354337564828</v>
      </c>
      <c r="U26" s="49">
        <f t="shared" si="11"/>
        <v>1683.4819975658288</v>
      </c>
      <c r="V26" s="49">
        <f t="shared" si="11"/>
        <v>1712.7399847290976</v>
      </c>
      <c r="W26" s="49">
        <f t="shared" si="11"/>
        <v>1748.3819367588496</v>
      </c>
      <c r="X26" s="49">
        <f t="shared" si="11"/>
        <v>1785.5743137018956</v>
      </c>
      <c r="Y26" s="62"/>
    </row>
    <row r="27" spans="2:25" ht="17.149999999999999" customHeight="1" x14ac:dyDescent="0.3">
      <c r="B27" s="42"/>
      <c r="C27" s="52" t="s">
        <v>229</v>
      </c>
      <c r="D27" s="52"/>
      <c r="E27" s="53">
        <f>成本!E13+损益!G15</f>
        <v>-1063.1780175015476</v>
      </c>
      <c r="F27" s="53">
        <f>成本!F13+损益!H15</f>
        <v>-1056.9766483825088</v>
      </c>
      <c r="G27" s="53">
        <f>成本!G13+损益!I15</f>
        <v>-1050.7752792634706</v>
      </c>
      <c r="H27" s="53">
        <f>成本!H13+损益!J15</f>
        <v>-1044.5739101444312</v>
      </c>
      <c r="I27" s="53">
        <f>成本!I13+损益!K15</f>
        <v>-1038.3725410253919</v>
      </c>
      <c r="J27" s="53">
        <f>成本!J13+损益!L15</f>
        <v>-1345.5035063420048</v>
      </c>
      <c r="K27" s="53">
        <f>成本!K13+损益!M15</f>
        <v>-1339.3021372229655</v>
      </c>
      <c r="L27" s="53">
        <f>成本!L13+损益!N15</f>
        <v>-1333.1007681039268</v>
      </c>
      <c r="M27" s="53">
        <f>成本!M13+损益!O15</f>
        <v>-1326.8993989848882</v>
      </c>
      <c r="N27" s="53">
        <f>成本!N13+损益!P15</f>
        <v>-1320.6980298658486</v>
      </c>
      <c r="O27" s="53">
        <f>成本!O13+损益!Q15</f>
        <v>-1510.329369769092</v>
      </c>
      <c r="P27" s="53">
        <f>成本!P13+损益!R15</f>
        <v>-1504.1280006500538</v>
      </c>
      <c r="Q27" s="53">
        <f>成本!Q13+损益!S15</f>
        <v>-1497.9266315310147</v>
      </c>
      <c r="R27" s="53">
        <f>成本!R13+损益!T15</f>
        <v>-1491.7252624119758</v>
      </c>
      <c r="S27" s="53">
        <f>成本!S13+损益!U15</f>
        <v>-1485.5238932929371</v>
      </c>
      <c r="T27" s="53">
        <f>成本!T13+损益!V15</f>
        <v>799.19104530035747</v>
      </c>
      <c r="U27" s="53">
        <f>成本!U13+损益!W15</f>
        <v>815.05154841478247</v>
      </c>
      <c r="V27" s="53">
        <f>成本!V13+损益!X15</f>
        <v>893.38476565433984</v>
      </c>
      <c r="W27" s="53">
        <f>成本!W13+损益!Y15</f>
        <v>893.38476565434007</v>
      </c>
      <c r="X27" s="53">
        <f>成本!X13+损益!Z15</f>
        <v>893.38476565434007</v>
      </c>
      <c r="Y27" s="62"/>
    </row>
    <row r="28" spans="2:25" ht="17.149999999999999" customHeight="1" x14ac:dyDescent="0.3">
      <c r="B28" s="42"/>
      <c r="C28" s="52" t="s">
        <v>230</v>
      </c>
      <c r="D28" s="52"/>
      <c r="E28" s="53">
        <f>E27+成本!F51</f>
        <v>-827.69371661659181</v>
      </c>
      <c r="F28" s="53">
        <f>F27+成本!G51</f>
        <v>-821.49234749755294</v>
      </c>
      <c r="G28" s="53">
        <f>G27+成本!H51</f>
        <v>-815.29097837851475</v>
      </c>
      <c r="H28" s="53">
        <f>H27+成本!I51</f>
        <v>-809.08960925947542</v>
      </c>
      <c r="I28" s="53">
        <f>I27+成本!J51</f>
        <v>-802.8882401404361</v>
      </c>
      <c r="J28" s="53">
        <f>J27+成本!K51</f>
        <v>-1110.0192054570491</v>
      </c>
      <c r="K28" s="53">
        <f>K27+成本!L51</f>
        <v>-1103.8178363380098</v>
      </c>
      <c r="L28" s="53">
        <f>L27+成本!M51</f>
        <v>-1097.6164672189711</v>
      </c>
      <c r="M28" s="53">
        <f>M27+成本!N51</f>
        <v>-1091.4150980999325</v>
      </c>
      <c r="N28" s="53">
        <f>N27+成本!O51</f>
        <v>-1085.2137289808929</v>
      </c>
      <c r="O28" s="53">
        <f>O27+成本!P51</f>
        <v>-1274.8450688841363</v>
      </c>
      <c r="P28" s="53">
        <f>P27+成本!Q51</f>
        <v>-1268.6436997650981</v>
      </c>
      <c r="Q28" s="53">
        <f>Q27+成本!R51</f>
        <v>-1262.442330646059</v>
      </c>
      <c r="R28" s="53">
        <f>R27+成本!S51</f>
        <v>-1256.2409615270201</v>
      </c>
      <c r="S28" s="53">
        <f>S27+成本!T51</f>
        <v>-1250.0395924079814</v>
      </c>
      <c r="T28" s="53">
        <f>T27+成本!U51</f>
        <v>1034.6753461853132</v>
      </c>
      <c r="U28" s="53">
        <f>U27+成本!V51</f>
        <v>1010.8845915136756</v>
      </c>
      <c r="V28" s="53">
        <f>V27+成本!W51</f>
        <v>893.38476565433984</v>
      </c>
      <c r="W28" s="53">
        <f>W27+成本!X51</f>
        <v>893.38476565434007</v>
      </c>
      <c r="X28" s="53">
        <f>X27+成本!Y51</f>
        <v>893.38476565434007</v>
      </c>
      <c r="Y28" s="62"/>
    </row>
    <row r="29" spans="2:25" ht="17.149999999999999" customHeight="1" x14ac:dyDescent="0.3">
      <c r="B29" s="42"/>
      <c r="C29" s="54" t="s">
        <v>231</v>
      </c>
      <c r="D29" s="54"/>
      <c r="E29" s="55">
        <f>E28/成本!E13</f>
        <v>-0.48897178756690524</v>
      </c>
      <c r="F29" s="55">
        <f>F28/成本!F13</f>
        <v>-0.486750286797135</v>
      </c>
      <c r="G29" s="55">
        <f>G28/成本!G13</f>
        <v>-0.48600362480673981</v>
      </c>
      <c r="H29" s="55">
        <f>H28/成本!H13</f>
        <v>-0.48497231991199058</v>
      </c>
      <c r="I29" s="55">
        <f>I28/成本!I13</f>
        <v>-0.48426485984507961</v>
      </c>
      <c r="J29" s="55">
        <f>J28/成本!J13</f>
        <v>-0.67422545234268438</v>
      </c>
      <c r="K29" s="55">
        <f>K28/成本!K13</f>
        <v>-0.67015776221336321</v>
      </c>
      <c r="L29" s="55">
        <f>L28/成本!L13</f>
        <v>-0.66641292935742358</v>
      </c>
      <c r="M29" s="55">
        <f>M28/成本!M13</f>
        <v>-0.66301031262677823</v>
      </c>
      <c r="N29" s="55">
        <f>N28/成本!N13</f>
        <v>-0.65997142653969521</v>
      </c>
      <c r="O29" s="55">
        <f>O28/成本!O13</f>
        <v>-0.77661899088468422</v>
      </c>
      <c r="P29" s="55">
        <f>P28/成本!P13</f>
        <v>-0.7706549639003768</v>
      </c>
      <c r="Q29" s="55">
        <f>Q28/成本!Q13</f>
        <v>-0.76508050165111208</v>
      </c>
      <c r="R29" s="55">
        <f>R28/成本!R13</f>
        <v>-0.75991622659540914</v>
      </c>
      <c r="S29" s="55">
        <f>S28/成本!S13</f>
        <v>-0.7551850655994824</v>
      </c>
      <c r="T29" s="55">
        <f>T28/成本!T13</f>
        <v>0.62463970831562377</v>
      </c>
      <c r="U29" s="55">
        <f>U28/成本!U13</f>
        <v>0.60047246895145201</v>
      </c>
      <c r="V29" s="55">
        <f>V28/成本!V13</f>
        <v>0.52161143759112139</v>
      </c>
      <c r="W29" s="55">
        <f>W28/成本!W13</f>
        <v>0.51097803453088553</v>
      </c>
      <c r="X29" s="55">
        <f>X28/成本!X13</f>
        <v>0.50033468716412777</v>
      </c>
      <c r="Y29" s="64">
        <f>AVERAGE(F29:X29)</f>
        <v>-0.33395728350098658</v>
      </c>
    </row>
    <row r="30" spans="2:25" ht="17.149999999999999" customHeight="1" x14ac:dyDescent="0.3">
      <c r="B30" s="42"/>
      <c r="C30" s="56" t="s">
        <v>232</v>
      </c>
      <c r="D30" s="56"/>
      <c r="E30" s="53">
        <f>E27+成本!E6</f>
        <v>1417.3696301140292</v>
      </c>
      <c r="F30" s="53">
        <f>F27+成本!F6</f>
        <v>1423.5709992330681</v>
      </c>
      <c r="G30" s="53">
        <f>G27+成本!G6</f>
        <v>1429.7723683521062</v>
      </c>
      <c r="H30" s="53">
        <f>H27+成本!H6</f>
        <v>1435.9737374711456</v>
      </c>
      <c r="I30" s="53">
        <f>I27+成本!I6</f>
        <v>1442.1751065901849</v>
      </c>
      <c r="J30" s="53">
        <f>J27+成本!J6</f>
        <v>1135.044141273572</v>
      </c>
      <c r="K30" s="53">
        <f>K27+成本!K6</f>
        <v>1141.2455103926113</v>
      </c>
      <c r="L30" s="53">
        <f>L27+成本!L6</f>
        <v>1147.44687951165</v>
      </c>
      <c r="M30" s="53">
        <f>M27+成本!M6</f>
        <v>1153.6482486306886</v>
      </c>
      <c r="N30" s="53">
        <f>N27+成本!N6</f>
        <v>1159.8496177497282</v>
      </c>
      <c r="O30" s="53">
        <f>O27+成本!O6</f>
        <v>970.21827784648485</v>
      </c>
      <c r="P30" s="53">
        <f>P27+成本!P6</f>
        <v>976.41964696552304</v>
      </c>
      <c r="Q30" s="53">
        <f>Q27+成本!Q6</f>
        <v>982.62101608456214</v>
      </c>
      <c r="R30" s="53">
        <f>R27+成本!R6</f>
        <v>988.82238520360102</v>
      </c>
      <c r="S30" s="53">
        <f>S27+成本!S6</f>
        <v>995.02375432263966</v>
      </c>
      <c r="T30" s="53">
        <f>T27+成本!T6</f>
        <v>799.19104530035747</v>
      </c>
      <c r="U30" s="53">
        <f>U27+成本!U6</f>
        <v>815.05154841478247</v>
      </c>
      <c r="V30" s="53">
        <f>V27+成本!V6</f>
        <v>893.38476565433984</v>
      </c>
      <c r="W30" s="53">
        <f>W27+成本!W6</f>
        <v>893.38476565434007</v>
      </c>
      <c r="X30" s="53">
        <f>X27+成本!X6</f>
        <v>893.38476565434007</v>
      </c>
      <c r="Y30" s="62"/>
    </row>
    <row r="31" spans="2:25" ht="17.149999999999999" customHeight="1" x14ac:dyDescent="0.3">
      <c r="B31" s="42"/>
      <c r="C31" s="56" t="s">
        <v>233</v>
      </c>
      <c r="D31" s="56"/>
      <c r="E31" s="53">
        <f>E30+成本!F51-损益!G21</f>
        <v>1652.8539309989849</v>
      </c>
      <c r="F31" s="53">
        <f>F30+成本!G51-损益!H21</f>
        <v>1659.0553001180238</v>
      </c>
      <c r="G31" s="53">
        <f>G30+成本!H51-损益!I21</f>
        <v>1665.2566692370619</v>
      </c>
      <c r="H31" s="53">
        <f>H30+成本!I51-损益!J21</f>
        <v>1671.4580383561013</v>
      </c>
      <c r="I31" s="53">
        <f>I30+成本!J51-损益!K21</f>
        <v>1677.6594074751406</v>
      </c>
      <c r="J31" s="53">
        <f>J30+成本!K51-损益!L21</f>
        <v>1370.5284421585277</v>
      </c>
      <c r="K31" s="53">
        <f>K30+成本!L51-损益!M21</f>
        <v>1376.729811277567</v>
      </c>
      <c r="L31" s="53">
        <f>L30+成本!M51-损益!N21</f>
        <v>1382.9311803966057</v>
      </c>
      <c r="M31" s="53">
        <f>M30+成本!N51-损益!O21</f>
        <v>1389.1325495156443</v>
      </c>
      <c r="N31" s="53">
        <f>N30+成本!O51-损益!P21</f>
        <v>1395.3339186346839</v>
      </c>
      <c r="O31" s="53">
        <f>O30+成本!P51-损益!Q21</f>
        <v>1205.7025787314406</v>
      </c>
      <c r="P31" s="53">
        <f>P30+成本!Q51-损益!R21</f>
        <v>1211.9039478504787</v>
      </c>
      <c r="Q31" s="53">
        <f>Q30+成本!R51-损益!S21</f>
        <v>1218.1053169695178</v>
      </c>
      <c r="R31" s="53">
        <f>R30+成本!S51-损益!T21</f>
        <v>1224.3066860885567</v>
      </c>
      <c r="S31" s="53">
        <f>S30+成本!T51-损益!U21</f>
        <v>1230.5080552075954</v>
      </c>
      <c r="T31" s="53">
        <f>T30+成本!U51-损益!V21</f>
        <v>1034.6753461853132</v>
      </c>
      <c r="U31" s="53">
        <f>U30+成本!V51-损益!W21</f>
        <v>1010.8845915136756</v>
      </c>
      <c r="V31" s="53">
        <f>V30+成本!W51-损益!X21</f>
        <v>893.38476565433984</v>
      </c>
      <c r="W31" s="53">
        <f>W30+成本!X51-损益!Y21</f>
        <v>893.38476565434007</v>
      </c>
      <c r="X31" s="53">
        <f>X30+成本!Y51-损益!Z21</f>
        <v>893.38476565434007</v>
      </c>
      <c r="Y31" s="62"/>
    </row>
    <row r="32" spans="2:25" ht="17.149999999999999" customHeight="1" x14ac:dyDescent="0.3">
      <c r="B32" s="57"/>
      <c r="C32" s="54" t="s">
        <v>234</v>
      </c>
      <c r="D32" s="54"/>
      <c r="E32" s="55">
        <f>E31/(E11+E10)</f>
        <v>0.50059598309854547</v>
      </c>
      <c r="F32" s="55">
        <f t="shared" ref="F32:S32" si="12">F31/(F11+F10)</f>
        <v>0.50247417717999465</v>
      </c>
      <c r="G32" s="55">
        <f t="shared" si="12"/>
        <v>0.5043523712614435</v>
      </c>
      <c r="H32" s="55">
        <f t="shared" si="12"/>
        <v>0.50623056534289279</v>
      </c>
      <c r="I32" s="55">
        <f t="shared" si="12"/>
        <v>0.50810875942434208</v>
      </c>
      <c r="J32" s="55">
        <f t="shared" si="12"/>
        <v>0.41508872623257087</v>
      </c>
      <c r="K32" s="55">
        <f t="shared" si="12"/>
        <v>0.41696692031402011</v>
      </c>
      <c r="L32" s="55">
        <f t="shared" si="12"/>
        <v>0.41884511439546918</v>
      </c>
      <c r="M32" s="55">
        <f t="shared" si="12"/>
        <v>0.4207233084769183</v>
      </c>
      <c r="N32" s="55">
        <f t="shared" si="12"/>
        <v>0.42260150255836759</v>
      </c>
      <c r="O32" s="55">
        <f t="shared" si="12"/>
        <v>0.36516830459405403</v>
      </c>
      <c r="P32" s="55">
        <f t="shared" si="12"/>
        <v>0.36704649867550299</v>
      </c>
      <c r="Q32" s="55">
        <f t="shared" si="12"/>
        <v>0.36892469275695217</v>
      </c>
      <c r="R32" s="55">
        <f t="shared" si="12"/>
        <v>0.37080288683840129</v>
      </c>
      <c r="S32" s="55">
        <f t="shared" si="12"/>
        <v>0.37268108091985036</v>
      </c>
      <c r="T32" s="55"/>
      <c r="U32" s="55"/>
      <c r="V32" s="55"/>
      <c r="W32" s="55"/>
      <c r="X32" s="55"/>
      <c r="Y32" s="64">
        <f>AVERAGE(F32:X32)</f>
        <v>0.42571535064076999</v>
      </c>
    </row>
    <row r="33" spans="2:25" ht="17.149999999999999" customHeight="1" thickBot="1" x14ac:dyDescent="0.4">
      <c r="B33" s="58"/>
      <c r="C33" s="59"/>
      <c r="D33" s="59"/>
      <c r="E33" s="60"/>
      <c r="F33" s="60"/>
      <c r="G33" s="60"/>
      <c r="H33" s="60"/>
      <c r="I33" s="60"/>
      <c r="J33" s="60"/>
      <c r="K33" s="60"/>
      <c r="L33" s="60"/>
      <c r="M33" s="60"/>
      <c r="N33" s="60"/>
      <c r="O33" s="60"/>
      <c r="P33" s="60"/>
      <c r="Q33" s="60"/>
      <c r="R33" s="60"/>
      <c r="S33" s="60"/>
      <c r="T33" s="60"/>
      <c r="U33" s="60"/>
      <c r="V33" s="60"/>
      <c r="W33" s="60"/>
      <c r="X33" s="60"/>
      <c r="Y33" s="65"/>
    </row>
    <row r="35" spans="2:25" x14ac:dyDescent="0.3">
      <c r="E35" s="13">
        <f>-PMT(参数表!C26,参数表!C27,投资计划!C15)</f>
        <v>3301.772261072279</v>
      </c>
    </row>
    <row r="36" spans="2:25" ht="15" x14ac:dyDescent="0.3">
      <c r="E36" s="228">
        <f>$E$35-还贷!E11</f>
        <v>1611.6594135330643</v>
      </c>
      <c r="F36" s="228">
        <f>$E$35-还贷!F11</f>
        <v>1690.6307247961845</v>
      </c>
      <c r="G36" s="228">
        <f>$E$35-还贷!G11</f>
        <v>1773.4716303111975</v>
      </c>
      <c r="H36" s="228">
        <f>$E$35-还贷!H11</f>
        <v>1860.3717401964461</v>
      </c>
      <c r="I36" s="228">
        <f>$E$35-还贷!I11</f>
        <v>1951.5299554660721</v>
      </c>
      <c r="J36" s="228">
        <f>$E$35-还贷!J11</f>
        <v>2047.1549232839095</v>
      </c>
      <c r="K36" s="228">
        <f>$E$35-还贷!K11</f>
        <v>2147.4655145248212</v>
      </c>
      <c r="L36" s="228">
        <f>$E$35-还贷!L11</f>
        <v>2252.6913247365374</v>
      </c>
      <c r="M36" s="228">
        <f>$E$35-还贷!M11</f>
        <v>2363.0731996486275</v>
      </c>
      <c r="N36" s="228">
        <f>$E$35-还贷!N11</f>
        <v>2478.8637864314105</v>
      </c>
      <c r="O36" s="228">
        <f>$E$35-还贷!O11</f>
        <v>2600.3281119665498</v>
      </c>
      <c r="P36" s="228">
        <f>$E$35-还贷!P11</f>
        <v>2727.7441894529106</v>
      </c>
      <c r="Q36" s="228">
        <f>$E$35-还贷!Q11</f>
        <v>2861.4036547361034</v>
      </c>
      <c r="R36" s="228">
        <f>$E$35-还贷!R11</f>
        <v>3001.6124338181721</v>
      </c>
      <c r="S36" s="228">
        <f>$E$35-还贷!S11</f>
        <v>3148.6914430752627</v>
      </c>
    </row>
    <row r="37" spans="2:25" ht="15" x14ac:dyDescent="0.3">
      <c r="T37" s="228"/>
    </row>
  </sheetData>
  <mergeCells count="5">
    <mergeCell ref="B1:Y1"/>
    <mergeCell ref="H3:X3"/>
    <mergeCell ref="B3:B4"/>
    <mergeCell ref="C3:C4"/>
    <mergeCell ref="Y3:Y4"/>
  </mergeCells>
  <phoneticPr fontId="61" type="noConversion"/>
  <pageMargins left="0.17986111111111111" right="0.4" top="0.61944444444444446" bottom="0.55000000000000004" header="0.5" footer="0.20972222222222223"/>
  <pageSetup paperSize="9" orientation="landscape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B052-E834-4045-85E1-D3BF501EF7F5}">
  <dimension ref="A1:Y42"/>
  <sheetViews>
    <sheetView zoomScale="115" workbookViewId="0">
      <pane xSplit="3" ySplit="4" topLeftCell="D5" activePane="bottomRight" state="frozen"/>
      <selection pane="topRight"/>
      <selection pane="bottomLeft"/>
      <selection pane="bottomRight" activeCell="W26" sqref="W26"/>
    </sheetView>
  </sheetViews>
  <sheetFormatPr defaultColWidth="9" defaultRowHeight="15" x14ac:dyDescent="0.3"/>
  <cols>
    <col min="1" max="1" width="6" style="3" customWidth="1"/>
    <col min="2" max="2" width="18.85546875" style="3" customWidth="1"/>
    <col min="3" max="3" width="5.85546875" style="3" customWidth="1"/>
    <col min="4" max="4" width="7.7109375" style="3" customWidth="1"/>
    <col min="5" max="5" width="11" style="3" bestFit="1" customWidth="1"/>
    <col min="6" max="19" width="9.5" style="3" bestFit="1" customWidth="1"/>
    <col min="20" max="20" width="9.7109375" style="3" bestFit="1" customWidth="1"/>
    <col min="21" max="24" width="9.5" style="3" bestFit="1" customWidth="1"/>
    <col min="25" max="25" width="11.0703125" style="3" customWidth="1"/>
    <col min="26" max="16384" width="9" style="3"/>
  </cols>
  <sheetData>
    <row r="1" spans="1:25" ht="19.5" customHeight="1" x14ac:dyDescent="0.3">
      <c r="A1" s="526" t="s">
        <v>235</v>
      </c>
      <c r="B1" s="526"/>
      <c r="C1" s="526"/>
      <c r="D1" s="526"/>
      <c r="E1" s="526"/>
      <c r="F1" s="526"/>
      <c r="G1" s="526"/>
      <c r="H1" s="526"/>
      <c r="I1" s="526"/>
      <c r="J1" s="526"/>
      <c r="K1" s="526"/>
      <c r="L1" s="526"/>
      <c r="M1" s="526"/>
      <c r="N1" s="526"/>
      <c r="O1" s="526"/>
      <c r="P1" s="526"/>
      <c r="Q1" s="526"/>
      <c r="R1" s="526"/>
      <c r="S1" s="526"/>
      <c r="T1" s="526"/>
    </row>
    <row r="2" spans="1:25" ht="15.45" thickBot="1" x14ac:dyDescent="0.35">
      <c r="A2" s="4" t="s">
        <v>236</v>
      </c>
      <c r="T2" s="24" t="s">
        <v>237</v>
      </c>
    </row>
    <row r="3" spans="1:25" s="1" customFormat="1" ht="15" customHeight="1" x14ac:dyDescent="0.3">
      <c r="A3" s="529" t="s">
        <v>238</v>
      </c>
      <c r="B3" s="531" t="s">
        <v>239</v>
      </c>
      <c r="C3" s="531" t="s">
        <v>240</v>
      </c>
      <c r="D3" s="341"/>
      <c r="E3" s="527" t="s">
        <v>241</v>
      </c>
      <c r="F3" s="528"/>
      <c r="G3" s="528"/>
      <c r="H3" s="528"/>
      <c r="I3" s="528"/>
      <c r="J3" s="528"/>
      <c r="K3" s="528"/>
      <c r="L3" s="528"/>
      <c r="M3" s="528"/>
      <c r="N3" s="528"/>
      <c r="O3" s="528"/>
      <c r="P3" s="528"/>
      <c r="Q3" s="528"/>
      <c r="R3" s="528"/>
      <c r="S3" s="528"/>
      <c r="T3" s="528"/>
      <c r="U3" s="528"/>
      <c r="V3" s="528"/>
      <c r="W3" s="528"/>
      <c r="X3" s="528"/>
      <c r="Y3" s="27"/>
    </row>
    <row r="4" spans="1:25" s="1" customFormat="1" ht="15" customHeight="1" x14ac:dyDescent="0.3">
      <c r="A4" s="530"/>
      <c r="B4" s="532"/>
      <c r="C4" s="532"/>
      <c r="D4" s="5">
        <f>成本!D4</f>
        <v>1</v>
      </c>
      <c r="E4" s="5">
        <f>成本!E4</f>
        <v>1</v>
      </c>
      <c r="F4" s="5">
        <f>成本!F4</f>
        <v>2</v>
      </c>
      <c r="G4" s="5">
        <f>成本!G4</f>
        <v>3</v>
      </c>
      <c r="H4" s="5">
        <f>成本!H4</f>
        <v>4</v>
      </c>
      <c r="I4" s="5">
        <f>成本!I4</f>
        <v>5</v>
      </c>
      <c r="J4" s="5">
        <f>成本!J4</f>
        <v>6</v>
      </c>
      <c r="K4" s="5">
        <f>成本!K4</f>
        <v>7</v>
      </c>
      <c r="L4" s="5">
        <f>成本!L4</f>
        <v>8</v>
      </c>
      <c r="M4" s="5">
        <f>成本!M4</f>
        <v>9</v>
      </c>
      <c r="N4" s="5">
        <f>成本!N4</f>
        <v>10</v>
      </c>
      <c r="O4" s="5">
        <f>成本!O4</f>
        <v>11</v>
      </c>
      <c r="P4" s="5">
        <f>成本!P4</f>
        <v>12</v>
      </c>
      <c r="Q4" s="5">
        <f>成本!Q4</f>
        <v>13</v>
      </c>
      <c r="R4" s="5">
        <f>成本!R4</f>
        <v>14</v>
      </c>
      <c r="S4" s="5">
        <f>成本!S4</f>
        <v>15</v>
      </c>
      <c r="T4" s="5">
        <f>成本!T4</f>
        <v>16</v>
      </c>
      <c r="U4" s="5">
        <f>成本!U4</f>
        <v>17</v>
      </c>
      <c r="V4" s="5">
        <f>成本!V4</f>
        <v>18</v>
      </c>
      <c r="W4" s="5">
        <f>成本!W4</f>
        <v>19</v>
      </c>
      <c r="X4" s="5">
        <f>成本!X4</f>
        <v>20</v>
      </c>
      <c r="Y4" s="28"/>
    </row>
    <row r="5" spans="1:25" s="2" customFormat="1" ht="18" customHeight="1" x14ac:dyDescent="0.3">
      <c r="A5" s="6">
        <v>1</v>
      </c>
      <c r="B5" s="7" t="s">
        <v>242</v>
      </c>
      <c r="C5" s="8"/>
      <c r="D5" s="9">
        <f t="shared" ref="D5:X5" si="0">D6-D11</f>
        <v>0</v>
      </c>
      <c r="E5" s="9">
        <f t="shared" si="0"/>
        <v>1604.233930998985</v>
      </c>
      <c r="F5" s="9">
        <f t="shared" si="0"/>
        <v>1707.6753001180236</v>
      </c>
      <c r="G5" s="9">
        <f t="shared" si="0"/>
        <v>1665.2566692370629</v>
      </c>
      <c r="H5" s="9">
        <f t="shared" si="0"/>
        <v>1671.4580383561017</v>
      </c>
      <c r="I5" s="9">
        <f t="shared" si="0"/>
        <v>1677.6594074751406</v>
      </c>
      <c r="J5" s="9">
        <f t="shared" si="0"/>
        <v>1370.5284421585277</v>
      </c>
      <c r="K5" s="9">
        <f t="shared" si="0"/>
        <v>1376.7298112775666</v>
      </c>
      <c r="L5" s="9">
        <f t="shared" si="0"/>
        <v>1382.9311803966057</v>
      </c>
      <c r="M5" s="9">
        <f t="shared" si="0"/>
        <v>1389.1325495156445</v>
      </c>
      <c r="N5" s="9">
        <f t="shared" si="0"/>
        <v>1395.3339186346834</v>
      </c>
      <c r="O5" s="9">
        <f t="shared" si="0"/>
        <v>1205.7025787314401</v>
      </c>
      <c r="P5" s="9">
        <f t="shared" si="0"/>
        <v>1211.903947850479</v>
      </c>
      <c r="Q5" s="9">
        <f t="shared" si="0"/>
        <v>1218.1053169695178</v>
      </c>
      <c r="R5" s="9">
        <f t="shared" si="0"/>
        <v>1224.3066860885569</v>
      </c>
      <c r="S5" s="9">
        <f t="shared" si="0"/>
        <v>1230.5080552075958</v>
      </c>
      <c r="T5" s="9">
        <f t="shared" si="0"/>
        <v>1034.6753461853132</v>
      </c>
      <c r="U5" s="9">
        <f t="shared" si="0"/>
        <v>1010.8845915136758</v>
      </c>
      <c r="V5" s="9">
        <f t="shared" si="0"/>
        <v>893.38476565433984</v>
      </c>
      <c r="W5" s="9">
        <f t="shared" si="0"/>
        <v>893.38476565433984</v>
      </c>
      <c r="X5" s="9">
        <f t="shared" si="0"/>
        <v>893.38476565433984</v>
      </c>
      <c r="Y5" s="29"/>
    </row>
    <row r="6" spans="1:25" s="2" customFormat="1" ht="18" customHeight="1" x14ac:dyDescent="0.3">
      <c r="A6" s="6">
        <v>1.1000000000000001</v>
      </c>
      <c r="B6" s="7" t="s">
        <v>243</v>
      </c>
      <c r="C6" s="8"/>
      <c r="D6" s="9">
        <f>D7+D8+D9</f>
        <v>0</v>
      </c>
      <c r="E6" s="9">
        <f>E7+E8+E9-E10</f>
        <v>1998.2820000000002</v>
      </c>
      <c r="F6" s="9">
        <f t="shared" ref="F6:X6" si="1">F7+F8+F9-F10</f>
        <v>2095.5219999999999</v>
      </c>
      <c r="G6" s="9">
        <f t="shared" si="1"/>
        <v>2046.902</v>
      </c>
      <c r="H6" s="9">
        <f t="shared" si="1"/>
        <v>2046.902</v>
      </c>
      <c r="I6" s="9">
        <f t="shared" si="1"/>
        <v>2046.902</v>
      </c>
      <c r="J6" s="9">
        <f t="shared" si="1"/>
        <v>2046.902</v>
      </c>
      <c r="K6" s="9">
        <f t="shared" si="1"/>
        <v>2046.902</v>
      </c>
      <c r="L6" s="9">
        <f t="shared" si="1"/>
        <v>2046.902</v>
      </c>
      <c r="M6" s="9">
        <f t="shared" si="1"/>
        <v>2046.902</v>
      </c>
      <c r="N6" s="9">
        <f t="shared" si="1"/>
        <v>2046.902</v>
      </c>
      <c r="O6" s="9">
        <f t="shared" si="1"/>
        <v>2046.902</v>
      </c>
      <c r="P6" s="9">
        <f t="shared" si="1"/>
        <v>2046.902</v>
      </c>
      <c r="Q6" s="9">
        <f t="shared" si="1"/>
        <v>2046.902</v>
      </c>
      <c r="R6" s="9">
        <f t="shared" si="1"/>
        <v>2046.902</v>
      </c>
      <c r="S6" s="9">
        <f t="shared" si="1"/>
        <v>2046.902</v>
      </c>
      <c r="T6" s="9">
        <f t="shared" si="1"/>
        <v>2046.902</v>
      </c>
      <c r="U6" s="9">
        <f t="shared" si="1"/>
        <v>2066.7276288930316</v>
      </c>
      <c r="V6" s="9">
        <f t="shared" si="1"/>
        <v>2164.6441504424779</v>
      </c>
      <c r="W6" s="9">
        <f t="shared" si="1"/>
        <v>2164.6441504424779</v>
      </c>
      <c r="X6" s="9">
        <f t="shared" si="1"/>
        <v>2164.6441504424779</v>
      </c>
      <c r="Y6" s="29"/>
    </row>
    <row r="7" spans="1:25" ht="18" customHeight="1" x14ac:dyDescent="0.3">
      <c r="A7" s="10" t="s">
        <v>202</v>
      </c>
      <c r="B7" s="11" t="s">
        <v>244</v>
      </c>
      <c r="C7" s="12"/>
      <c r="D7" s="12"/>
      <c r="E7" s="13">
        <f>损益!G8+损益!G12</f>
        <v>1811.4176991150443</v>
      </c>
      <c r="F7" s="13">
        <f>损益!H8+损益!H12</f>
        <v>1811.4176991150443</v>
      </c>
      <c r="G7" s="13">
        <f>损益!I8+损益!I12</f>
        <v>1811.4176991150443</v>
      </c>
      <c r="H7" s="13">
        <f>损益!J8+损益!J12</f>
        <v>1811.4176991150443</v>
      </c>
      <c r="I7" s="13">
        <f>损益!K8+损益!K12</f>
        <v>1811.4176991150443</v>
      </c>
      <c r="J7" s="13">
        <f>损益!L8+损益!L12</f>
        <v>1811.4176991150443</v>
      </c>
      <c r="K7" s="13">
        <f>损益!M8+损益!M12</f>
        <v>1811.4176991150443</v>
      </c>
      <c r="L7" s="13">
        <f>损益!N8+损益!N12</f>
        <v>1811.4176991150443</v>
      </c>
      <c r="M7" s="13">
        <f>损益!O8+损益!O12</f>
        <v>1811.4176991150443</v>
      </c>
      <c r="N7" s="13">
        <f>损益!P8+损益!P12</f>
        <v>1811.4176991150443</v>
      </c>
      <c r="O7" s="13">
        <f>损益!Q8+损益!Q12</f>
        <v>1811.4176991150443</v>
      </c>
      <c r="P7" s="13">
        <f>损益!R8+损益!R12</f>
        <v>1811.4176991150443</v>
      </c>
      <c r="Q7" s="13">
        <f>损益!S8+损益!S12</f>
        <v>1811.4176991150443</v>
      </c>
      <c r="R7" s="13">
        <f>损益!T8+损益!T12</f>
        <v>1811.4176991150443</v>
      </c>
      <c r="S7" s="13">
        <f>损益!U8+损益!U12</f>
        <v>1811.4176991150443</v>
      </c>
      <c r="T7" s="13">
        <f>损益!V8+损益!V12</f>
        <v>1811.4176991150443</v>
      </c>
      <c r="U7" s="13">
        <f>损益!W8+损益!W12</f>
        <v>1831.2433280080757</v>
      </c>
      <c r="V7" s="13">
        <f>损益!X8+损益!X12</f>
        <v>1929.1598495575222</v>
      </c>
      <c r="W7" s="13">
        <f>损益!Y8+损益!Y12</f>
        <v>1929.1598495575222</v>
      </c>
      <c r="X7" s="13">
        <f>损益!Z8+损益!Z12</f>
        <v>1929.1598495575222</v>
      </c>
      <c r="Y7" s="30"/>
    </row>
    <row r="8" spans="1:25" ht="18" customHeight="1" x14ac:dyDescent="0.3">
      <c r="A8" s="10" t="s">
        <v>204</v>
      </c>
      <c r="B8" s="15" t="s">
        <v>308</v>
      </c>
      <c r="C8" s="12"/>
      <c r="D8" s="12"/>
      <c r="E8" s="13">
        <f>现金流量!E45</f>
        <v>235.48430088495579</v>
      </c>
      <c r="F8" s="13">
        <f>现金流量!F45</f>
        <v>235.48430088495579</v>
      </c>
      <c r="G8" s="13">
        <f>现金流量!G45</f>
        <v>235.48430088495579</v>
      </c>
      <c r="H8" s="13">
        <f>现金流量!H45</f>
        <v>235.48430088495579</v>
      </c>
      <c r="I8" s="13">
        <f>现金流量!I45</f>
        <v>235.48430088495579</v>
      </c>
      <c r="J8" s="13">
        <f>现金流量!J45</f>
        <v>235.48430088495579</v>
      </c>
      <c r="K8" s="13">
        <f>现金流量!K45</f>
        <v>235.48430088495579</v>
      </c>
      <c r="L8" s="13">
        <f>现金流量!L45</f>
        <v>235.48430088495579</v>
      </c>
      <c r="M8" s="13">
        <f>现金流量!M45</f>
        <v>235.48430088495579</v>
      </c>
      <c r="N8" s="13">
        <f>现金流量!N45</f>
        <v>235.48430088495579</v>
      </c>
      <c r="O8" s="13">
        <f>现金流量!O45</f>
        <v>235.48430088495579</v>
      </c>
      <c r="P8" s="13">
        <f>现金流量!P45</f>
        <v>235.48430088495579</v>
      </c>
      <c r="Q8" s="13">
        <f>现金流量!Q45</f>
        <v>235.48430088495579</v>
      </c>
      <c r="R8" s="13">
        <f>现金流量!R45</f>
        <v>235.48430088495579</v>
      </c>
      <c r="S8" s="13">
        <f>现金流量!S45</f>
        <v>235.48430088495579</v>
      </c>
      <c r="T8" s="13">
        <f>现金流量!T45</f>
        <v>235.48430088495579</v>
      </c>
      <c r="U8" s="13">
        <f>现金流量!U45</f>
        <v>235.48430088495579</v>
      </c>
      <c r="V8" s="13">
        <f>现金流量!V45</f>
        <v>235.48430088495579</v>
      </c>
      <c r="W8" s="13">
        <f>现金流量!W45</f>
        <v>235.48430088495579</v>
      </c>
      <c r="X8" s="13">
        <f>现金流量!X45</f>
        <v>235.48430088495579</v>
      </c>
      <c r="Y8" s="32">
        <f>SUM(D8:X8)</f>
        <v>4709.6860176991149</v>
      </c>
    </row>
    <row r="9" spans="1:25" ht="18" customHeight="1" x14ac:dyDescent="0.3">
      <c r="A9" s="10" t="s">
        <v>245</v>
      </c>
      <c r="B9" s="11" t="s">
        <v>246</v>
      </c>
      <c r="C9" s="12"/>
      <c r="D9" s="12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25"/>
      <c r="V9" s="25"/>
      <c r="W9" s="25"/>
      <c r="X9" s="25"/>
      <c r="Y9" s="30"/>
    </row>
    <row r="10" spans="1:25" ht="18" customHeight="1" x14ac:dyDescent="0.3">
      <c r="A10" s="10" t="s">
        <v>359</v>
      </c>
      <c r="B10" s="15" t="s">
        <v>360</v>
      </c>
      <c r="C10" s="12"/>
      <c r="D10" s="12"/>
      <c r="E10" s="13">
        <f>参数表!$C$8*损益!G5*(1-参数表!D10)</f>
        <v>48.620000000000005</v>
      </c>
      <c r="F10" s="13">
        <f>参数表!$C$8*损益!H5*(1-参数表!E10)</f>
        <v>-48.620000000000005</v>
      </c>
      <c r="G10" s="13">
        <f>参数表!$C$8*损益!I5*(1-参数表!F10)</f>
        <v>0</v>
      </c>
      <c r="H10" s="13">
        <f>参数表!$C$8*损益!J5*(1-参数表!G10)</f>
        <v>0</v>
      </c>
      <c r="I10" s="13">
        <f>参数表!$C$8*损益!K5*(1-参数表!H10)</f>
        <v>0</v>
      </c>
      <c r="J10" s="13">
        <f>参数表!$C$8*损益!L5*(1-参数表!I10)</f>
        <v>0</v>
      </c>
      <c r="K10" s="13">
        <f>参数表!$C$8*损益!M5*(1-参数表!J10)</f>
        <v>0</v>
      </c>
      <c r="L10" s="13">
        <f>参数表!$C$8*损益!N5*(1-参数表!K10)</f>
        <v>0</v>
      </c>
      <c r="M10" s="13">
        <f>参数表!$C$8*损益!O5*(1-参数表!L10)</f>
        <v>0</v>
      </c>
      <c r="N10" s="13">
        <f>参数表!$C$8*损益!P5*(1-参数表!M10)</f>
        <v>0</v>
      </c>
      <c r="O10" s="13">
        <f>参数表!$C$8*损益!Q5*(1-参数表!N10)</f>
        <v>0</v>
      </c>
      <c r="P10" s="13">
        <f>参数表!$C$8*损益!R5*(1-参数表!O10)</f>
        <v>0</v>
      </c>
      <c r="Q10" s="13">
        <f>参数表!$C$8*损益!S5*(1-参数表!P10)</f>
        <v>0</v>
      </c>
      <c r="R10" s="13">
        <f>参数表!$C$8*损益!T5*(1-参数表!Q10)</f>
        <v>0</v>
      </c>
      <c r="S10" s="13">
        <f>参数表!$C$8*损益!U5*(1-参数表!R10)</f>
        <v>0</v>
      </c>
      <c r="T10" s="13">
        <f>参数表!$C$8*损益!V5*(1-参数表!S10)</f>
        <v>0</v>
      </c>
      <c r="U10" s="13">
        <f>参数表!$C$8*损益!W5*(1-参数表!T10)</f>
        <v>0</v>
      </c>
      <c r="V10" s="13">
        <f>参数表!$C$8*损益!X5*(1-参数表!U10)</f>
        <v>0</v>
      </c>
      <c r="W10" s="13">
        <f>参数表!$C$8*损益!Y5*(1-参数表!V10)</f>
        <v>0</v>
      </c>
      <c r="X10" s="13">
        <f>参数表!$C$8*损益!Z5*(1-参数表!W10)</f>
        <v>0</v>
      </c>
      <c r="Y10" s="30"/>
    </row>
    <row r="11" spans="1:25" s="2" customFormat="1" ht="18" customHeight="1" x14ac:dyDescent="0.3">
      <c r="A11" s="6">
        <v>1.2</v>
      </c>
      <c r="B11" s="7" t="s">
        <v>247</v>
      </c>
      <c r="C11" s="8"/>
      <c r="D11" s="9">
        <f>D12+D13+D14+D15+D16</f>
        <v>0</v>
      </c>
      <c r="E11" s="9">
        <f>E12+E13+E14+E15+E16</f>
        <v>394.04806900101522</v>
      </c>
      <c r="F11" s="9">
        <f t="shared" ref="F11:X11" si="2">F12+F13+F14+F15+F16</f>
        <v>387.84669988197629</v>
      </c>
      <c r="G11" s="9">
        <f t="shared" si="2"/>
        <v>381.64533076293731</v>
      </c>
      <c r="H11" s="9">
        <f t="shared" si="2"/>
        <v>375.44396164389838</v>
      </c>
      <c r="I11" s="9">
        <f t="shared" si="2"/>
        <v>369.24259252485945</v>
      </c>
      <c r="J11" s="9">
        <f t="shared" si="2"/>
        <v>676.37355784147235</v>
      </c>
      <c r="K11" s="9">
        <f t="shared" si="2"/>
        <v>670.17218872243348</v>
      </c>
      <c r="L11" s="9">
        <f t="shared" si="2"/>
        <v>663.97081960339449</v>
      </c>
      <c r="M11" s="9">
        <f t="shared" si="2"/>
        <v>657.7694504843555</v>
      </c>
      <c r="N11" s="9">
        <f t="shared" si="2"/>
        <v>651.56808136531663</v>
      </c>
      <c r="O11" s="9">
        <f t="shared" si="2"/>
        <v>841.19942126855995</v>
      </c>
      <c r="P11" s="9">
        <f t="shared" si="2"/>
        <v>834.99805214952107</v>
      </c>
      <c r="Q11" s="9">
        <f t="shared" si="2"/>
        <v>828.79668303048209</v>
      </c>
      <c r="R11" s="9">
        <f t="shared" si="2"/>
        <v>822.5953139114431</v>
      </c>
      <c r="S11" s="9">
        <f t="shared" si="2"/>
        <v>816.39394479240423</v>
      </c>
      <c r="T11" s="9">
        <f t="shared" si="2"/>
        <v>1012.2266538146868</v>
      </c>
      <c r="U11" s="9">
        <f t="shared" si="2"/>
        <v>1055.8430373793558</v>
      </c>
      <c r="V11" s="9">
        <f t="shared" si="2"/>
        <v>1271.259384788138</v>
      </c>
      <c r="W11" s="9">
        <f t="shared" si="2"/>
        <v>1271.259384788138</v>
      </c>
      <c r="X11" s="9">
        <f t="shared" si="2"/>
        <v>1271.259384788138</v>
      </c>
      <c r="Y11" s="32">
        <f>Y12+Y13+Y15+Y16</f>
        <v>15253.912012542527</v>
      </c>
    </row>
    <row r="12" spans="1:25" ht="18" customHeight="1" x14ac:dyDescent="0.3">
      <c r="A12" s="10" t="s">
        <v>188</v>
      </c>
      <c r="B12" s="11" t="s">
        <v>248</v>
      </c>
      <c r="C12" s="12"/>
      <c r="D12" s="12"/>
      <c r="E12" s="13">
        <f>现金流量!E53</f>
        <v>394.04806900101522</v>
      </c>
      <c r="F12" s="13">
        <f>现金流量!F53</f>
        <v>387.84669988197629</v>
      </c>
      <c r="G12" s="13">
        <f>现金流量!G53</f>
        <v>381.64533076293731</v>
      </c>
      <c r="H12" s="13">
        <f>现金流量!H53</f>
        <v>375.44396164389838</v>
      </c>
      <c r="I12" s="13">
        <f>现金流量!I53</f>
        <v>369.24259252485945</v>
      </c>
      <c r="J12" s="13">
        <f>现金流量!J53</f>
        <v>676.37355784147235</v>
      </c>
      <c r="K12" s="13">
        <f>现金流量!K53</f>
        <v>670.17218872243348</v>
      </c>
      <c r="L12" s="13">
        <f>现金流量!L53</f>
        <v>663.97081960339449</v>
      </c>
      <c r="M12" s="13">
        <f>现金流量!M53</f>
        <v>657.7694504843555</v>
      </c>
      <c r="N12" s="13">
        <f>现金流量!N53</f>
        <v>651.56808136531663</v>
      </c>
      <c r="O12" s="13">
        <f>现金流量!O53</f>
        <v>841.19942126855995</v>
      </c>
      <c r="P12" s="13">
        <f>现金流量!P53</f>
        <v>834.99805214952107</v>
      </c>
      <c r="Q12" s="13">
        <f>现金流量!Q53</f>
        <v>828.79668303048209</v>
      </c>
      <c r="R12" s="13">
        <f>现金流量!R53</f>
        <v>822.5953139114431</v>
      </c>
      <c r="S12" s="13">
        <f>现金流量!S53</f>
        <v>816.39394479240423</v>
      </c>
      <c r="T12" s="13">
        <f>现金流量!T53</f>
        <v>1012.2266538146868</v>
      </c>
      <c r="U12" s="13">
        <f>现金流量!U53</f>
        <v>1012.2266538146868</v>
      </c>
      <c r="V12" s="13">
        <f>现金流量!V53</f>
        <v>1012.2266538146868</v>
      </c>
      <c r="W12" s="13">
        <f>现金流量!W53</f>
        <v>1012.2266538146868</v>
      </c>
      <c r="X12" s="13">
        <f>现金流量!X53</f>
        <v>1012.2266538146868</v>
      </c>
      <c r="Y12" s="32">
        <f>SUM(D12:X12)</f>
        <v>14433.197436057504</v>
      </c>
    </row>
    <row r="13" spans="1:25" ht="18" customHeight="1" x14ac:dyDescent="0.3">
      <c r="A13" s="10" t="s">
        <v>189</v>
      </c>
      <c r="B13" s="11" t="s">
        <v>249</v>
      </c>
      <c r="C13" s="12"/>
      <c r="D13" s="12"/>
      <c r="E13" s="13">
        <f>现金流量!E56</f>
        <v>0</v>
      </c>
      <c r="F13" s="13">
        <f>现金流量!F56</f>
        <v>0</v>
      </c>
      <c r="G13" s="13">
        <f>现金流量!G56</f>
        <v>0</v>
      </c>
      <c r="H13" s="13">
        <f>现金流量!H56</f>
        <v>0</v>
      </c>
      <c r="I13" s="13">
        <f>现金流量!I56</f>
        <v>0</v>
      </c>
      <c r="J13" s="13">
        <f>现金流量!J56</f>
        <v>0</v>
      </c>
      <c r="K13" s="13">
        <f>现金流量!K56</f>
        <v>0</v>
      </c>
      <c r="L13" s="13">
        <f>现金流量!L56</f>
        <v>0</v>
      </c>
      <c r="M13" s="13">
        <f>现金流量!M56</f>
        <v>0</v>
      </c>
      <c r="N13" s="13">
        <f>现金流量!N56</f>
        <v>0</v>
      </c>
      <c r="O13" s="13">
        <f>现金流量!O56</f>
        <v>0</v>
      </c>
      <c r="P13" s="13">
        <f>现金流量!P56</f>
        <v>0</v>
      </c>
      <c r="Q13" s="13">
        <f>现金流量!Q56</f>
        <v>0</v>
      </c>
      <c r="R13" s="13">
        <f>现金流量!R56</f>
        <v>0</v>
      </c>
      <c r="S13" s="13">
        <f>现金流量!S56</f>
        <v>0</v>
      </c>
      <c r="T13" s="13">
        <f>现金流量!T56</f>
        <v>0</v>
      </c>
      <c r="U13" s="13">
        <f>现金流量!U56</f>
        <v>3.9651257786062675</v>
      </c>
      <c r="V13" s="13">
        <f>现金流量!V56</f>
        <v>23.548430088495579</v>
      </c>
      <c r="W13" s="13">
        <f>现金流量!W56</f>
        <v>23.548430088495579</v>
      </c>
      <c r="X13" s="13">
        <f>现金流量!X56</f>
        <v>23.548430088495579</v>
      </c>
      <c r="Y13" s="32">
        <f>SUM(D13:X13)</f>
        <v>74.610416044093</v>
      </c>
    </row>
    <row r="14" spans="1:25" ht="18" customHeight="1" x14ac:dyDescent="0.3">
      <c r="A14" s="10" t="s">
        <v>190</v>
      </c>
      <c r="B14" s="15" t="s">
        <v>325</v>
      </c>
      <c r="C14" s="12"/>
      <c r="D14" s="12">
        <f>参数表!C58</f>
        <v>0</v>
      </c>
      <c r="E14" s="12">
        <f>参数表!D58</f>
        <v>0</v>
      </c>
      <c r="F14" s="12">
        <f>参数表!E58</f>
        <v>0</v>
      </c>
      <c r="G14" s="12">
        <f>参数表!F58</f>
        <v>0</v>
      </c>
      <c r="H14" s="12">
        <f>参数表!G58</f>
        <v>0</v>
      </c>
      <c r="I14" s="12">
        <f>参数表!H58</f>
        <v>0</v>
      </c>
      <c r="J14" s="12">
        <f>参数表!I58</f>
        <v>0</v>
      </c>
      <c r="K14" s="12">
        <f>参数表!J58</f>
        <v>0</v>
      </c>
      <c r="L14" s="12">
        <f>参数表!K58</f>
        <v>0</v>
      </c>
      <c r="M14" s="12">
        <f>参数表!L58</f>
        <v>0</v>
      </c>
      <c r="N14" s="12">
        <f>参数表!M58</f>
        <v>0</v>
      </c>
      <c r="O14" s="12">
        <f>参数表!N58</f>
        <v>0</v>
      </c>
      <c r="P14" s="12">
        <f>参数表!O58</f>
        <v>0</v>
      </c>
      <c r="Q14" s="12">
        <f>参数表!P58</f>
        <v>0</v>
      </c>
      <c r="R14" s="12">
        <f>参数表!Q58</f>
        <v>0</v>
      </c>
      <c r="S14" s="12">
        <f>参数表!R58</f>
        <v>0</v>
      </c>
      <c r="T14" s="12">
        <f>参数表!S58</f>
        <v>0</v>
      </c>
      <c r="U14" s="12">
        <f>参数表!T58</f>
        <v>0</v>
      </c>
      <c r="V14" s="12">
        <f>参数表!U58</f>
        <v>0</v>
      </c>
      <c r="W14" s="12">
        <f>参数表!V58</f>
        <v>0</v>
      </c>
      <c r="X14" s="12">
        <f>参数表!W58</f>
        <v>0</v>
      </c>
      <c r="Y14" s="32">
        <f>SUM(D14:X14)</f>
        <v>0</v>
      </c>
    </row>
    <row r="15" spans="1:25" ht="18" customHeight="1" x14ac:dyDescent="0.3">
      <c r="A15" s="10" t="s">
        <v>192</v>
      </c>
      <c r="B15" s="11" t="s">
        <v>250</v>
      </c>
      <c r="C15" s="12"/>
      <c r="D15" s="12"/>
      <c r="E15" s="13">
        <f>现金流量!E57</f>
        <v>0</v>
      </c>
      <c r="F15" s="13">
        <f>现金流量!F57</f>
        <v>0</v>
      </c>
      <c r="G15" s="13">
        <f>现金流量!G57</f>
        <v>0</v>
      </c>
      <c r="H15" s="13">
        <f>现金流量!H57</f>
        <v>0</v>
      </c>
      <c r="I15" s="13">
        <f>现金流量!I57</f>
        <v>0</v>
      </c>
      <c r="J15" s="13">
        <f>现金流量!J57</f>
        <v>0</v>
      </c>
      <c r="K15" s="13">
        <f>现金流量!K57</f>
        <v>0</v>
      </c>
      <c r="L15" s="13">
        <f>现金流量!L57</f>
        <v>0</v>
      </c>
      <c r="M15" s="13">
        <f>现金流量!M57</f>
        <v>0</v>
      </c>
      <c r="N15" s="13">
        <f>现金流量!N57</f>
        <v>0</v>
      </c>
      <c r="O15" s="13">
        <f>现金流量!O57</f>
        <v>0</v>
      </c>
      <c r="P15" s="13">
        <f>现金流量!P57</f>
        <v>0</v>
      </c>
      <c r="Q15" s="13">
        <f>现金流量!Q57</f>
        <v>0</v>
      </c>
      <c r="R15" s="13">
        <f>现金流量!R57</f>
        <v>0</v>
      </c>
      <c r="S15" s="13">
        <f>现金流量!S57</f>
        <v>0</v>
      </c>
      <c r="T15" s="13">
        <f>现金流量!T57</f>
        <v>0</v>
      </c>
      <c r="U15" s="13">
        <f>现金流量!U57</f>
        <v>0</v>
      </c>
      <c r="V15" s="13">
        <f>现金流量!V57</f>
        <v>0</v>
      </c>
      <c r="W15" s="13">
        <f>现金流量!W57</f>
        <v>0</v>
      </c>
      <c r="X15" s="13">
        <f>现金流量!X57</f>
        <v>0</v>
      </c>
      <c r="Y15" s="32">
        <f>SUM(D15:X15)</f>
        <v>0</v>
      </c>
    </row>
    <row r="16" spans="1:25" ht="18" customHeight="1" x14ac:dyDescent="0.3">
      <c r="A16" s="10" t="s">
        <v>251</v>
      </c>
      <c r="B16" s="15" t="s">
        <v>324</v>
      </c>
      <c r="C16" s="12"/>
      <c r="D16" s="12"/>
      <c r="E16" s="13">
        <f>现金流量!E55</f>
        <v>0</v>
      </c>
      <c r="F16" s="13">
        <f>现金流量!F55</f>
        <v>0</v>
      </c>
      <c r="G16" s="13">
        <f>现金流量!G55</f>
        <v>0</v>
      </c>
      <c r="H16" s="13">
        <f>现金流量!H55</f>
        <v>0</v>
      </c>
      <c r="I16" s="13">
        <f>现金流量!I55</f>
        <v>0</v>
      </c>
      <c r="J16" s="13">
        <f>现金流量!J55</f>
        <v>0</v>
      </c>
      <c r="K16" s="13">
        <f>现金流量!K55</f>
        <v>0</v>
      </c>
      <c r="L16" s="13">
        <f>现金流量!L55</f>
        <v>0</v>
      </c>
      <c r="M16" s="13">
        <f>现金流量!M55</f>
        <v>0</v>
      </c>
      <c r="N16" s="13">
        <f>现金流量!N55</f>
        <v>0</v>
      </c>
      <c r="O16" s="13">
        <f>现金流量!O55</f>
        <v>0</v>
      </c>
      <c r="P16" s="13">
        <f>现金流量!P55</f>
        <v>0</v>
      </c>
      <c r="Q16" s="13">
        <f>现金流量!Q55</f>
        <v>0</v>
      </c>
      <c r="R16" s="13">
        <f>现金流量!R55</f>
        <v>0</v>
      </c>
      <c r="S16" s="13">
        <f>现金流量!S55</f>
        <v>0</v>
      </c>
      <c r="T16" s="13">
        <f>现金流量!T55</f>
        <v>0</v>
      </c>
      <c r="U16" s="13">
        <f>现金流量!U55</f>
        <v>39.651257786062672</v>
      </c>
      <c r="V16" s="13">
        <f>现金流量!V55</f>
        <v>235.48430088495579</v>
      </c>
      <c r="W16" s="13">
        <f>现金流量!W55</f>
        <v>235.48430088495579</v>
      </c>
      <c r="X16" s="13">
        <f>现金流量!X55</f>
        <v>235.48430088495579</v>
      </c>
      <c r="Y16" s="32">
        <f>SUM(D16:X16)</f>
        <v>746.10416044093006</v>
      </c>
    </row>
    <row r="17" spans="1:25" s="2" customFormat="1" ht="18" customHeight="1" x14ac:dyDescent="0.3">
      <c r="A17" s="6">
        <v>2</v>
      </c>
      <c r="B17" s="7" t="s">
        <v>253</v>
      </c>
      <c r="C17" s="8"/>
      <c r="D17" s="9">
        <f>D18-D24</f>
        <v>0</v>
      </c>
      <c r="E17" s="9">
        <f>E18-E24</f>
        <v>-1604.233930998985</v>
      </c>
      <c r="F17" s="9">
        <f t="shared" ref="F17:S17" si="3">F18-F24</f>
        <v>-7.5269700447292962</v>
      </c>
      <c r="G17" s="9">
        <f t="shared" si="3"/>
        <v>1705.555074148675</v>
      </c>
      <c r="H17" s="9">
        <f t="shared" si="3"/>
        <v>3485.1096077021316</v>
      </c>
      <c r="I17" s="9">
        <f t="shared" si="3"/>
        <v>5336.1431539028026</v>
      </c>
      <c r="J17" s="9">
        <f t="shared" si="3"/>
        <v>7575.0973842364947</v>
      </c>
      <c r="K17" s="9">
        <f t="shared" si="3"/>
        <v>9891.8845574793904</v>
      </c>
      <c r="L17" s="9">
        <f t="shared" si="3"/>
        <v>12303.52036319599</v>
      </c>
      <c r="M17" s="9">
        <f t="shared" si="3"/>
        <v>14814.130716898902</v>
      </c>
      <c r="N17" s="9">
        <f t="shared" si="3"/>
        <v>17428.021011425531</v>
      </c>
      <c r="O17" s="9">
        <f t="shared" si="3"/>
        <v>20345.516633223986</v>
      </c>
      <c r="P17" s="9">
        <f t="shared" si="3"/>
        <v>23375.472982165847</v>
      </c>
      <c r="Q17" s="9">
        <f t="shared" si="3"/>
        <v>26531.300822724319</v>
      </c>
      <c r="R17" s="9">
        <f t="shared" si="3"/>
        <v>29818.475564784727</v>
      </c>
      <c r="S17" s="9">
        <f t="shared" si="3"/>
        <v>33242.710798562402</v>
      </c>
      <c r="T17" s="9">
        <f t="shared" ref="T17:Y17" si="4">T18-T24</f>
        <v>37012.002733588364</v>
      </c>
      <c r="U17" s="9">
        <f t="shared" si="4"/>
        <v>37657.553575831167</v>
      </c>
      <c r="V17" s="9">
        <f t="shared" si="4"/>
        <v>38447.650807742662</v>
      </c>
      <c r="W17" s="9">
        <f t="shared" si="4"/>
        <v>39267.006026817413</v>
      </c>
      <c r="X17" s="9">
        <f t="shared" si="4"/>
        <v>40122.003197921927</v>
      </c>
      <c r="Y17" s="32">
        <f t="shared" si="4"/>
        <v>-111142.88124101642</v>
      </c>
    </row>
    <row r="18" spans="1:25" s="2" customFormat="1" ht="18" customHeight="1" x14ac:dyDescent="0.3">
      <c r="A18" s="6">
        <v>2.1</v>
      </c>
      <c r="B18" s="7" t="s">
        <v>243</v>
      </c>
      <c r="C18" s="8"/>
      <c r="D18" s="9">
        <f t="shared" ref="D18:Y18" si="5">D19+D20+D21+D22+D23</f>
        <v>43118.123661714664</v>
      </c>
      <c r="E18" s="9">
        <f t="shared" si="5"/>
        <v>1760.1483300732941</v>
      </c>
      <c r="F18" s="9">
        <f t="shared" si="5"/>
        <v>3370.8117433857378</v>
      </c>
      <c r="G18" s="9">
        <f t="shared" si="5"/>
        <v>5156.5676460582335</v>
      </c>
      <c r="H18" s="9">
        <f t="shared" si="5"/>
        <v>7013.8025613779437</v>
      </c>
      <c r="I18" s="9">
        <f t="shared" si="5"/>
        <v>8945.6258263950222</v>
      </c>
      <c r="J18" s="9">
        <f t="shared" si="5"/>
        <v>11268.614368756957</v>
      </c>
      <c r="K18" s="9">
        <f t="shared" si="5"/>
        <v>13686.451543592597</v>
      </c>
      <c r="L18" s="9">
        <f t="shared" si="5"/>
        <v>16203.263266414548</v>
      </c>
      <c r="M18" s="9">
        <f t="shared" si="5"/>
        <v>18823.354930060214</v>
      </c>
      <c r="N18" s="9">
        <f t="shared" si="5"/>
        <v>21551.219211955427</v>
      </c>
      <c r="O18" s="9">
        <f t="shared" si="5"/>
        <v>24587.376930016326</v>
      </c>
      <c r="P18" s="9">
        <f t="shared" si="5"/>
        <v>27749.406139693834</v>
      </c>
      <c r="Q18" s="9">
        <f t="shared" si="5"/>
        <v>31042.782250873279</v>
      </c>
      <c r="R18" s="9">
        <f t="shared" si="5"/>
        <v>34473.218853769991</v>
      </c>
      <c r="S18" s="9">
        <f t="shared" si="5"/>
        <v>38046.678079773672</v>
      </c>
      <c r="T18" s="9">
        <f t="shared" si="5"/>
        <v>38668.438167344844</v>
      </c>
      <c r="U18" s="9">
        <f t="shared" si="5"/>
        <v>39341.035573396999</v>
      </c>
      <c r="V18" s="9">
        <f t="shared" si="5"/>
        <v>40160.390792471757</v>
      </c>
      <c r="W18" s="9">
        <f t="shared" si="5"/>
        <v>41015.387963576264</v>
      </c>
      <c r="X18" s="9">
        <f t="shared" si="5"/>
        <v>41907.577511623822</v>
      </c>
      <c r="Y18" s="32">
        <f t="shared" si="5"/>
        <v>0</v>
      </c>
    </row>
    <row r="19" spans="1:25" ht="18" customHeight="1" x14ac:dyDescent="0.3">
      <c r="A19" s="10" t="s">
        <v>76</v>
      </c>
      <c r="B19" s="11" t="s">
        <v>254</v>
      </c>
      <c r="C19" s="12"/>
      <c r="D19" s="14">
        <f>投资计划!F11</f>
        <v>8626.0247323429339</v>
      </c>
      <c r="E19" s="14">
        <f>投资计划!G11</f>
        <v>0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31"/>
    </row>
    <row r="20" spans="1:25" ht="18" customHeight="1" x14ac:dyDescent="0.3">
      <c r="A20" s="10" t="s">
        <v>78</v>
      </c>
      <c r="B20" s="11" t="s">
        <v>255</v>
      </c>
      <c r="C20" s="12"/>
      <c r="D20" s="14">
        <f>还贷!D6</f>
        <v>34492.098929371728</v>
      </c>
      <c r="E20" s="14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31"/>
    </row>
    <row r="21" spans="1:25" ht="18" customHeight="1" x14ac:dyDescent="0.3">
      <c r="A21" s="10" t="s">
        <v>256</v>
      </c>
      <c r="B21" s="11" t="s">
        <v>257</v>
      </c>
      <c r="C21" s="12"/>
      <c r="D21" s="12"/>
      <c r="E21" s="13">
        <f>投资计划!G18</f>
        <v>60</v>
      </c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31"/>
    </row>
    <row r="22" spans="1:25" ht="18" customHeight="1" x14ac:dyDescent="0.3">
      <c r="A22" s="10" t="s">
        <v>258</v>
      </c>
      <c r="B22" s="11" t="s">
        <v>259</v>
      </c>
      <c r="C22" s="14">
        <f>MAX(F22:X22)</f>
        <v>41907.577511623822</v>
      </c>
      <c r="D22" s="13">
        <f>IF(D5-D24-D28&lt;0,IF(-D24-D28+D19+D20+D21+D5&gt;=0,0,-D5-D19-D20-D21+D24+D28),0)</f>
        <v>0</v>
      </c>
      <c r="E22" s="13">
        <f t="shared" ref="E22:S22" si="6">IF(E5-E24-E28&lt;0,IF(D34-E24-E28+E19+E20+E21+E5&gt;=0,0,-D34-E5-E19-E20-E21+E24+E28),0)</f>
        <v>1700.1483300732941</v>
      </c>
      <c r="F22" s="13">
        <f t="shared" si="6"/>
        <v>3370.8117433857378</v>
      </c>
      <c r="G22" s="13">
        <f t="shared" si="6"/>
        <v>5156.5676460582335</v>
      </c>
      <c r="H22" s="13">
        <f t="shared" si="6"/>
        <v>7013.8025613779437</v>
      </c>
      <c r="I22" s="13">
        <f t="shared" si="6"/>
        <v>8945.6258263950222</v>
      </c>
      <c r="J22" s="13">
        <f t="shared" si="6"/>
        <v>11268.614368756957</v>
      </c>
      <c r="K22" s="13">
        <f t="shared" si="6"/>
        <v>13686.451543592597</v>
      </c>
      <c r="L22" s="13">
        <f t="shared" si="6"/>
        <v>16203.263266414548</v>
      </c>
      <c r="M22" s="13">
        <f t="shared" si="6"/>
        <v>18823.354930060214</v>
      </c>
      <c r="N22" s="13">
        <f t="shared" si="6"/>
        <v>21551.219211955427</v>
      </c>
      <c r="O22" s="13">
        <f t="shared" si="6"/>
        <v>24587.376930016326</v>
      </c>
      <c r="P22" s="13">
        <f t="shared" si="6"/>
        <v>27749.406139693834</v>
      </c>
      <c r="Q22" s="13">
        <f t="shared" si="6"/>
        <v>31042.782250873279</v>
      </c>
      <c r="R22" s="13">
        <f t="shared" si="6"/>
        <v>34473.218853769991</v>
      </c>
      <c r="S22" s="13">
        <f t="shared" si="6"/>
        <v>38046.678079773672</v>
      </c>
      <c r="T22" s="13">
        <f>IF(T5-T24-T28&lt;0,IF(S34-T24-T28+T19+T20+T21+T5&gt;=0,0,-S34-T5-T19-T20-T21+T24+T28),0)</f>
        <v>38668.438167344844</v>
      </c>
      <c r="U22" s="13">
        <f>IF(U5-U24-U28&lt;0,IF(T34-U24-U28+U19+U20+U21+U5&gt;=0,0,-T34-U5-U19-U20-U21+U24+U28),0)</f>
        <v>39341.035573396999</v>
      </c>
      <c r="V22" s="13">
        <f>IF(V5-V24-V28&lt;0,IF(U34-V24-V28+V19+V20+V21+V5&gt;=0,0,-U34-V5-V19-V20-V21+V24+V28),0)</f>
        <v>40160.390792471757</v>
      </c>
      <c r="W22" s="13">
        <f>IF(W5-W24-W28&lt;0,IF(V34-W24-W28+W19+W20+W21+W5&gt;=0,0,-V34-W5-W19-W20-W21+W24+W28),0)</f>
        <v>41015.387963576264</v>
      </c>
      <c r="X22" s="13">
        <f>IF(X5-X24-X28&lt;0,IF(W34-X24-X28+X19+X20+X21+X5&gt;=0,0,-W34-X5-X19-X20-X21+X24+X28),0)</f>
        <v>41907.577511623822</v>
      </c>
      <c r="Y22" s="31"/>
    </row>
    <row r="23" spans="1:25" ht="18" customHeight="1" x14ac:dyDescent="0.3">
      <c r="A23" s="10" t="s">
        <v>260</v>
      </c>
      <c r="B23" s="11" t="s">
        <v>261</v>
      </c>
      <c r="C23" s="12"/>
      <c r="D23" s="12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25"/>
      <c r="V23" s="25"/>
      <c r="W23" s="25"/>
      <c r="X23" s="25"/>
      <c r="Y23" s="31"/>
    </row>
    <row r="24" spans="1:25" s="2" customFormat="1" ht="18" customHeight="1" x14ac:dyDescent="0.3">
      <c r="A24" s="6">
        <v>2.2000000000000002</v>
      </c>
      <c r="B24" s="7" t="s">
        <v>247</v>
      </c>
      <c r="C24" s="8"/>
      <c r="D24" s="9">
        <f>D25+D26+D27+D30+D31+D32</f>
        <v>43118.123661714664</v>
      </c>
      <c r="E24" s="9">
        <f t="shared" ref="E24:X24" si="7">E25+E26+E27+E30+E31+E32</f>
        <v>3364.3822610722791</v>
      </c>
      <c r="F24" s="9">
        <f t="shared" si="7"/>
        <v>3378.3387134304671</v>
      </c>
      <c r="G24" s="9">
        <f t="shared" si="7"/>
        <v>3451.0125719095586</v>
      </c>
      <c r="H24" s="9">
        <f t="shared" si="7"/>
        <v>3528.6929536758121</v>
      </c>
      <c r="I24" s="9">
        <f t="shared" si="7"/>
        <v>3609.4826724922195</v>
      </c>
      <c r="J24" s="9">
        <f t="shared" si="7"/>
        <v>3693.5169845204623</v>
      </c>
      <c r="K24" s="9">
        <f t="shared" si="7"/>
        <v>3794.5669861132064</v>
      </c>
      <c r="L24" s="9">
        <f t="shared" si="7"/>
        <v>3899.7429032185569</v>
      </c>
      <c r="M24" s="9">
        <f t="shared" si="7"/>
        <v>4009.2242131613116</v>
      </c>
      <c r="N24" s="9">
        <f t="shared" si="7"/>
        <v>4123.1982005298978</v>
      </c>
      <c r="O24" s="9">
        <f t="shared" si="7"/>
        <v>4241.8602967923398</v>
      </c>
      <c r="P24" s="9">
        <f t="shared" si="7"/>
        <v>4373.9331575279884</v>
      </c>
      <c r="Q24" s="9">
        <f t="shared" si="7"/>
        <v>4511.4814281489607</v>
      </c>
      <c r="R24" s="9">
        <f t="shared" si="7"/>
        <v>4654.7432889852662</v>
      </c>
      <c r="S24" s="9">
        <f t="shared" si="7"/>
        <v>4803.9672812112731</v>
      </c>
      <c r="T24" s="9">
        <f t="shared" si="7"/>
        <v>1656.4354337564828</v>
      </c>
      <c r="U24" s="9">
        <f t="shared" si="7"/>
        <v>1683.4819975658288</v>
      </c>
      <c r="V24" s="9">
        <f t="shared" si="7"/>
        <v>1712.7399847290976</v>
      </c>
      <c r="W24" s="9">
        <f t="shared" si="7"/>
        <v>1748.3819367588496</v>
      </c>
      <c r="X24" s="9">
        <f t="shared" si="7"/>
        <v>1785.5743137018956</v>
      </c>
      <c r="Y24" s="32">
        <f>SUM(D24:X24)</f>
        <v>111142.88124101642</v>
      </c>
    </row>
    <row r="25" spans="1:25" ht="18" customHeight="1" x14ac:dyDescent="0.3">
      <c r="A25" s="10" t="s">
        <v>81</v>
      </c>
      <c r="B25" s="11" t="s">
        <v>262</v>
      </c>
      <c r="C25" s="12"/>
      <c r="D25" s="14">
        <f>投资计划!F10</f>
        <v>43118.123661714664</v>
      </c>
      <c r="E25" s="14">
        <f>投资计划!G15</f>
        <v>0</v>
      </c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25"/>
      <c r="V25" s="25"/>
      <c r="W25" s="25"/>
      <c r="X25" s="25"/>
      <c r="Y25" s="31"/>
    </row>
    <row r="26" spans="1:25" ht="18" customHeight="1" x14ac:dyDescent="0.3">
      <c r="A26" s="10" t="s">
        <v>83</v>
      </c>
      <c r="B26" s="11" t="s">
        <v>263</v>
      </c>
      <c r="C26" s="12"/>
      <c r="D26" s="12"/>
      <c r="E26" s="13">
        <f>投资计划!G8</f>
        <v>60</v>
      </c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25"/>
      <c r="V26" s="25"/>
      <c r="W26" s="25"/>
      <c r="X26" s="25"/>
      <c r="Y26" s="31"/>
    </row>
    <row r="27" spans="1:25" ht="18" customHeight="1" x14ac:dyDescent="0.3">
      <c r="A27" s="10" t="s">
        <v>85</v>
      </c>
      <c r="B27" s="15" t="s">
        <v>264</v>
      </c>
      <c r="C27" s="12"/>
      <c r="D27" s="12"/>
      <c r="E27" s="13">
        <f>还贷!E10</f>
        <v>1611.6594135330643</v>
      </c>
      <c r="F27" s="13">
        <f>还贷!F10</f>
        <v>1690.6307247961845</v>
      </c>
      <c r="G27" s="13">
        <f>还贷!G10</f>
        <v>1773.4716303111975</v>
      </c>
      <c r="H27" s="13">
        <f>还贷!H10</f>
        <v>1860.3717401964461</v>
      </c>
      <c r="I27" s="13">
        <f>还贷!I10</f>
        <v>1951.5299554660721</v>
      </c>
      <c r="J27" s="13">
        <f>还贷!J10</f>
        <v>2047.1549232839095</v>
      </c>
      <c r="K27" s="13">
        <f>还贷!K10</f>
        <v>2147.4655145248212</v>
      </c>
      <c r="L27" s="13">
        <f>还贷!L10</f>
        <v>2252.6913247365374</v>
      </c>
      <c r="M27" s="13">
        <f>还贷!M10</f>
        <v>2363.0731996486275</v>
      </c>
      <c r="N27" s="13">
        <f>还贷!N10</f>
        <v>2478.8637864314105</v>
      </c>
      <c r="O27" s="13">
        <f>还贷!O10</f>
        <v>2600.3281119665498</v>
      </c>
      <c r="P27" s="13">
        <f>还贷!P10</f>
        <v>2727.7441894529106</v>
      </c>
      <c r="Q27" s="13">
        <f>还贷!Q10</f>
        <v>2861.4036547361034</v>
      </c>
      <c r="R27" s="13">
        <f>还贷!R10</f>
        <v>3001.6124338181721</v>
      </c>
      <c r="S27" s="13">
        <f>还贷!S10</f>
        <v>3148.6914430752627</v>
      </c>
      <c r="T27" s="13"/>
      <c r="U27" s="13"/>
      <c r="V27" s="13"/>
      <c r="W27" s="13"/>
      <c r="X27" s="13"/>
      <c r="Y27" s="32">
        <f>SUM(D27:X27)</f>
        <v>34516.692045977274</v>
      </c>
    </row>
    <row r="28" spans="1:25" ht="18" customHeight="1" x14ac:dyDescent="0.3">
      <c r="A28" s="10"/>
      <c r="B28" s="15" t="s">
        <v>265</v>
      </c>
      <c r="C28" s="12"/>
      <c r="D28" s="13"/>
      <c r="E28" s="13">
        <f>D22</f>
        <v>0</v>
      </c>
      <c r="F28" s="13">
        <f>E22</f>
        <v>1700.1483300732941</v>
      </c>
      <c r="G28" s="13">
        <f>F22</f>
        <v>3370.8117433857378</v>
      </c>
      <c r="H28" s="13">
        <f>G22</f>
        <v>5156.5676460582335</v>
      </c>
      <c r="I28" s="13">
        <f t="shared" ref="I28:X28" si="8">H22</f>
        <v>7013.8025613779437</v>
      </c>
      <c r="J28" s="13">
        <f t="shared" si="8"/>
        <v>8945.6258263950222</v>
      </c>
      <c r="K28" s="13">
        <f t="shared" si="8"/>
        <v>11268.614368756957</v>
      </c>
      <c r="L28" s="13">
        <f t="shared" si="8"/>
        <v>13686.451543592597</v>
      </c>
      <c r="M28" s="13">
        <f t="shared" si="8"/>
        <v>16203.263266414548</v>
      </c>
      <c r="N28" s="13">
        <f t="shared" si="8"/>
        <v>18823.354930060214</v>
      </c>
      <c r="O28" s="13">
        <f t="shared" si="8"/>
        <v>21551.219211955427</v>
      </c>
      <c r="P28" s="13">
        <f t="shared" si="8"/>
        <v>24587.376930016326</v>
      </c>
      <c r="Q28" s="13">
        <f t="shared" si="8"/>
        <v>27749.406139693834</v>
      </c>
      <c r="R28" s="13">
        <f t="shared" si="8"/>
        <v>31042.782250873279</v>
      </c>
      <c r="S28" s="13">
        <f t="shared" si="8"/>
        <v>34473.218853769991</v>
      </c>
      <c r="T28" s="13">
        <f t="shared" si="8"/>
        <v>38046.678079773672</v>
      </c>
      <c r="U28" s="13">
        <f t="shared" si="8"/>
        <v>38668.438167344844</v>
      </c>
      <c r="V28" s="13">
        <f t="shared" si="8"/>
        <v>39341.035573396999</v>
      </c>
      <c r="W28" s="13">
        <f t="shared" si="8"/>
        <v>40160.390792471757</v>
      </c>
      <c r="X28" s="13">
        <f t="shared" si="8"/>
        <v>41015.387963576264</v>
      </c>
      <c r="Y28" s="32"/>
    </row>
    <row r="29" spans="1:25" ht="18" customHeight="1" x14ac:dyDescent="0.3">
      <c r="A29" s="10"/>
      <c r="B29" s="16" t="s">
        <v>266</v>
      </c>
      <c r="C29" s="12"/>
      <c r="D29" s="12"/>
      <c r="E29" s="13"/>
      <c r="F29" s="13"/>
      <c r="G29" s="13"/>
      <c r="H29" s="13"/>
      <c r="I29" s="13"/>
      <c r="J29" s="13"/>
      <c r="K29" s="2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32"/>
    </row>
    <row r="30" spans="1:25" ht="18" customHeight="1" x14ac:dyDescent="0.3">
      <c r="A30" s="10" t="s">
        <v>267</v>
      </c>
      <c r="B30" s="11" t="s">
        <v>268</v>
      </c>
      <c r="C30" s="12"/>
      <c r="D30" s="12"/>
      <c r="E30" s="13">
        <f>成本!E13</f>
        <v>1692.7228475392146</v>
      </c>
      <c r="F30" s="13">
        <f>成本!F13</f>
        <v>1687.7079886342826</v>
      </c>
      <c r="G30" s="13">
        <f>成本!G13</f>
        <v>1677.5409415983609</v>
      </c>
      <c r="H30" s="13">
        <f>成本!H13</f>
        <v>1668.321213479366</v>
      </c>
      <c r="I30" s="13">
        <f>成本!I13</f>
        <v>1657.9527170261472</v>
      </c>
      <c r="J30" s="13">
        <f>成本!J13</f>
        <v>1646.3620612365528</v>
      </c>
      <c r="K30" s="13">
        <f>成本!K13</f>
        <v>1647.1014715883853</v>
      </c>
      <c r="L30" s="13">
        <f>成本!L13</f>
        <v>1647.0515784820195</v>
      </c>
      <c r="M30" s="13">
        <f>成本!M13</f>
        <v>1646.1510135126841</v>
      </c>
      <c r="N30" s="13">
        <f>成本!N13</f>
        <v>1644.3344140984877</v>
      </c>
      <c r="O30" s="13">
        <f>成本!O13</f>
        <v>1641.5321848257904</v>
      </c>
      <c r="P30" s="13">
        <f>成本!P13</f>
        <v>1646.1889680750783</v>
      </c>
      <c r="Q30" s="13">
        <f>成本!Q13</f>
        <v>1650.0777734128574</v>
      </c>
      <c r="R30" s="13">
        <f>成本!R13</f>
        <v>1653.1308551670943</v>
      </c>
      <c r="S30" s="13">
        <f>成本!S13</f>
        <v>1655.2758381360106</v>
      </c>
      <c r="T30" s="13">
        <f>成本!T13</f>
        <v>1656.4354337564828</v>
      </c>
      <c r="U30" s="13">
        <f>成本!U13</f>
        <v>1683.4819975658288</v>
      </c>
      <c r="V30" s="13">
        <f>成本!V13</f>
        <v>1712.7399847290976</v>
      </c>
      <c r="W30" s="13">
        <f>成本!W13</f>
        <v>1748.3819367588496</v>
      </c>
      <c r="X30" s="13">
        <f>成本!X13</f>
        <v>1785.5743137018956</v>
      </c>
      <c r="Y30" s="32">
        <f>SUM(D30:X30)</f>
        <v>33448.065533324494</v>
      </c>
    </row>
    <row r="31" spans="1:25" ht="18" customHeight="1" x14ac:dyDescent="0.3">
      <c r="A31" s="10" t="s">
        <v>269</v>
      </c>
      <c r="B31" s="11" t="s">
        <v>270</v>
      </c>
      <c r="C31" s="12"/>
      <c r="D31" s="12"/>
      <c r="E31" s="13">
        <f>E41</f>
        <v>0</v>
      </c>
      <c r="F31" s="13">
        <f t="shared" ref="F31:X31" si="9">F41</f>
        <v>0</v>
      </c>
      <c r="G31" s="13">
        <f t="shared" si="9"/>
        <v>0</v>
      </c>
      <c r="H31" s="13">
        <f t="shared" si="9"/>
        <v>0</v>
      </c>
      <c r="I31" s="13">
        <f t="shared" si="9"/>
        <v>0</v>
      </c>
      <c r="J31" s="13">
        <f t="shared" si="9"/>
        <v>0</v>
      </c>
      <c r="K31" s="13">
        <f t="shared" si="9"/>
        <v>0</v>
      </c>
      <c r="L31" s="13">
        <f t="shared" si="9"/>
        <v>0</v>
      </c>
      <c r="M31" s="13">
        <f t="shared" si="9"/>
        <v>0</v>
      </c>
      <c r="N31" s="13">
        <f t="shared" si="9"/>
        <v>0</v>
      </c>
      <c r="O31" s="13">
        <f t="shared" si="9"/>
        <v>0</v>
      </c>
      <c r="P31" s="13">
        <f t="shared" si="9"/>
        <v>0</v>
      </c>
      <c r="Q31" s="13">
        <f t="shared" si="9"/>
        <v>0</v>
      </c>
      <c r="R31" s="13">
        <f t="shared" si="9"/>
        <v>0</v>
      </c>
      <c r="S31" s="13">
        <f t="shared" si="9"/>
        <v>0</v>
      </c>
      <c r="T31" s="13">
        <f t="shared" si="9"/>
        <v>0</v>
      </c>
      <c r="U31" s="13">
        <f t="shared" si="9"/>
        <v>0</v>
      </c>
      <c r="V31" s="13">
        <f t="shared" si="9"/>
        <v>0</v>
      </c>
      <c r="W31" s="13">
        <f t="shared" si="9"/>
        <v>0</v>
      </c>
      <c r="X31" s="13">
        <f t="shared" si="9"/>
        <v>0</v>
      </c>
      <c r="Y31" s="32">
        <f>SUM(F31:X31)</f>
        <v>0</v>
      </c>
    </row>
    <row r="32" spans="1:25" ht="18" customHeight="1" x14ac:dyDescent="0.3">
      <c r="A32" s="10" t="s">
        <v>271</v>
      </c>
      <c r="B32" s="11" t="s">
        <v>252</v>
      </c>
      <c r="C32" s="12"/>
      <c r="D32" s="12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25"/>
      <c r="V32" s="25"/>
      <c r="W32" s="25"/>
      <c r="X32" s="25"/>
      <c r="Y32" s="32">
        <f>SUM(F32:X32)</f>
        <v>0</v>
      </c>
    </row>
    <row r="33" spans="1:25" s="2" customFormat="1" ht="18" customHeight="1" x14ac:dyDescent="0.3">
      <c r="A33" s="6">
        <v>3</v>
      </c>
      <c r="B33" s="7" t="s">
        <v>272</v>
      </c>
      <c r="C33" s="8"/>
      <c r="D33" s="9">
        <f>D5+D17-D28</f>
        <v>0</v>
      </c>
      <c r="E33" s="9">
        <f>E5+E17-E28</f>
        <v>0</v>
      </c>
      <c r="F33" s="9">
        <f t="shared" ref="F33:X33" si="10">F5+F17-F28</f>
        <v>0</v>
      </c>
      <c r="G33" s="9">
        <f t="shared" si="10"/>
        <v>0</v>
      </c>
      <c r="H33" s="9">
        <f t="shared" si="10"/>
        <v>0</v>
      </c>
      <c r="I33" s="9">
        <f t="shared" si="10"/>
        <v>0</v>
      </c>
      <c r="J33" s="9">
        <f t="shared" si="10"/>
        <v>0</v>
      </c>
      <c r="K33" s="9">
        <f t="shared" si="10"/>
        <v>0</v>
      </c>
      <c r="L33" s="9">
        <f>L5+L17-L28</f>
        <v>0</v>
      </c>
      <c r="M33" s="9">
        <f t="shared" si="10"/>
        <v>0</v>
      </c>
      <c r="N33" s="9">
        <f t="shared" si="10"/>
        <v>0</v>
      </c>
      <c r="O33" s="9">
        <f t="shared" si="10"/>
        <v>0</v>
      </c>
      <c r="P33" s="9">
        <f t="shared" si="10"/>
        <v>0</v>
      </c>
      <c r="Q33" s="9">
        <f t="shared" si="10"/>
        <v>0</v>
      </c>
      <c r="R33" s="9">
        <f>R5+R17-R28</f>
        <v>0</v>
      </c>
      <c r="S33" s="9">
        <f t="shared" si="10"/>
        <v>0</v>
      </c>
      <c r="T33" s="9">
        <f t="shared" si="10"/>
        <v>0</v>
      </c>
      <c r="U33" s="9">
        <f>U5+U17-U28</f>
        <v>0</v>
      </c>
      <c r="V33" s="9">
        <f t="shared" si="10"/>
        <v>0</v>
      </c>
      <c r="W33" s="9">
        <f t="shared" si="10"/>
        <v>0</v>
      </c>
      <c r="X33" s="9">
        <f t="shared" si="10"/>
        <v>0</v>
      </c>
      <c r="Y33" s="32">
        <f>SUM(F33:X33)</f>
        <v>0</v>
      </c>
    </row>
    <row r="34" spans="1:25" s="2" customFormat="1" ht="18" customHeight="1" thickBot="1" x14ac:dyDescent="0.35">
      <c r="A34" s="17">
        <v>4</v>
      </c>
      <c r="B34" s="18" t="s">
        <v>273</v>
      </c>
      <c r="C34" s="19"/>
      <c r="D34" s="20">
        <f>D33</f>
        <v>0</v>
      </c>
      <c r="E34" s="20">
        <f t="shared" ref="E34:T34" si="11">D34+E33</f>
        <v>0</v>
      </c>
      <c r="F34" s="20">
        <f t="shared" si="11"/>
        <v>0</v>
      </c>
      <c r="G34" s="20">
        <f t="shared" si="11"/>
        <v>0</v>
      </c>
      <c r="H34" s="20">
        <f t="shared" si="11"/>
        <v>0</v>
      </c>
      <c r="I34" s="20">
        <f t="shared" si="11"/>
        <v>0</v>
      </c>
      <c r="J34" s="20">
        <f t="shared" si="11"/>
        <v>0</v>
      </c>
      <c r="K34" s="20">
        <f t="shared" si="11"/>
        <v>0</v>
      </c>
      <c r="L34" s="20">
        <f t="shared" si="11"/>
        <v>0</v>
      </c>
      <c r="M34" s="20">
        <f t="shared" si="11"/>
        <v>0</v>
      </c>
      <c r="N34" s="20">
        <f t="shared" si="11"/>
        <v>0</v>
      </c>
      <c r="O34" s="20">
        <f t="shared" si="11"/>
        <v>0</v>
      </c>
      <c r="P34" s="20">
        <f t="shared" si="11"/>
        <v>0</v>
      </c>
      <c r="Q34" s="20">
        <f t="shared" si="11"/>
        <v>0</v>
      </c>
      <c r="R34" s="20">
        <f t="shared" si="11"/>
        <v>0</v>
      </c>
      <c r="S34" s="20">
        <f t="shared" si="11"/>
        <v>0</v>
      </c>
      <c r="T34" s="20">
        <f t="shared" si="11"/>
        <v>0</v>
      </c>
      <c r="U34" s="20">
        <f>T34+U33</f>
        <v>0</v>
      </c>
      <c r="V34" s="20">
        <f>U34+V33</f>
        <v>0</v>
      </c>
      <c r="W34" s="20">
        <f>V34+W33</f>
        <v>0</v>
      </c>
      <c r="X34" s="20">
        <f>W34+X33</f>
        <v>0</v>
      </c>
      <c r="Y34" s="33">
        <f>SUM(F34:X34)</f>
        <v>0</v>
      </c>
    </row>
    <row r="36" spans="1:25" x14ac:dyDescent="0.3">
      <c r="B36" s="21"/>
      <c r="D36" s="26">
        <f>IF(+D28=0,0,IF(D28&gt;0,0))</f>
        <v>0</v>
      </c>
      <c r="E36" s="26">
        <f>IF(D28+E28=0,0,IF(E28&gt;0,0,#REF!+D28/#REF!))</f>
        <v>0</v>
      </c>
      <c r="F36" s="26">
        <f t="shared" ref="F36:N36" si="12">IF(E28+F28=0,0,IF(F28&gt;0,0,D4+E28/D28))</f>
        <v>0</v>
      </c>
      <c r="G36" s="26">
        <f t="shared" si="12"/>
        <v>0</v>
      </c>
      <c r="H36" s="26">
        <f t="shared" si="12"/>
        <v>0</v>
      </c>
      <c r="I36" s="26">
        <f t="shared" si="12"/>
        <v>0</v>
      </c>
      <c r="J36" s="26">
        <f t="shared" si="12"/>
        <v>0</v>
      </c>
      <c r="K36" s="26">
        <f t="shared" si="12"/>
        <v>0</v>
      </c>
      <c r="L36" s="26">
        <f t="shared" si="12"/>
        <v>0</v>
      </c>
      <c r="M36" s="26">
        <f t="shared" si="12"/>
        <v>0</v>
      </c>
      <c r="N36" s="26">
        <f t="shared" si="12"/>
        <v>0</v>
      </c>
      <c r="O36" s="26">
        <f>IF(N28+O28=0,0,IF(O28&gt;0,0,M4+N28/M28))</f>
        <v>0</v>
      </c>
      <c r="P36" s="26">
        <f t="shared" ref="P36:X36" si="13">IF(O28+P28=0,0,IF(P28&gt;0,0,N4+O28/N28))</f>
        <v>0</v>
      </c>
      <c r="Q36" s="26">
        <f t="shared" si="13"/>
        <v>0</v>
      </c>
      <c r="R36" s="26">
        <f t="shared" si="13"/>
        <v>0</v>
      </c>
      <c r="S36" s="26">
        <f t="shared" si="13"/>
        <v>0</v>
      </c>
      <c r="T36" s="26">
        <f t="shared" si="13"/>
        <v>0</v>
      </c>
      <c r="U36" s="26">
        <f>IF(T28+U28=0,0,IF(U28&gt;0,0,S4+T28/S28))</f>
        <v>0</v>
      </c>
      <c r="V36" s="26">
        <f>IF(U28+V28=0,0,IF(V28&gt;0,0,T4+U28/T28))</f>
        <v>0</v>
      </c>
      <c r="W36" s="26">
        <f>IF(V28+W28=0,0,IF(W28&gt;0,0,U4+V28/U28))</f>
        <v>0</v>
      </c>
      <c r="X36" s="26">
        <f t="shared" si="13"/>
        <v>0</v>
      </c>
      <c r="Y36" s="26"/>
    </row>
    <row r="37" spans="1:25" x14ac:dyDescent="0.3">
      <c r="E37" s="22"/>
    </row>
    <row r="38" spans="1:25" x14ac:dyDescent="0.3">
      <c r="B38" s="234" t="s">
        <v>305</v>
      </c>
      <c r="E38" s="233">
        <f>SUM(E25:E30)-E18</f>
        <v>1604.233930998985</v>
      </c>
      <c r="F38" s="228">
        <f t="shared" ref="F38:X38" si="14">SUM(F25:F30)</f>
        <v>5078.487043503761</v>
      </c>
      <c r="G38" s="228">
        <f t="shared" si="14"/>
        <v>6821.8243152952964</v>
      </c>
      <c r="H38" s="228">
        <f t="shared" si="14"/>
        <v>8685.2605997340452</v>
      </c>
      <c r="I38" s="228">
        <f t="shared" si="14"/>
        <v>10623.285233870163</v>
      </c>
      <c r="J38" s="228">
        <f t="shared" si="14"/>
        <v>12639.142810915484</v>
      </c>
      <c r="K38" s="228">
        <f t="shared" si="14"/>
        <v>15063.181354870163</v>
      </c>
      <c r="L38" s="228">
        <f t="shared" si="14"/>
        <v>17586.194446811154</v>
      </c>
      <c r="M38" s="228">
        <f t="shared" si="14"/>
        <v>20212.487479575859</v>
      </c>
      <c r="N38" s="228">
        <f t="shared" si="14"/>
        <v>22946.553130590113</v>
      </c>
      <c r="O38" s="228">
        <f t="shared" si="14"/>
        <v>25793.079508747771</v>
      </c>
      <c r="P38" s="228">
        <f t="shared" si="14"/>
        <v>28961.310087544316</v>
      </c>
      <c r="Q38" s="228">
        <f t="shared" si="14"/>
        <v>32260.887567842794</v>
      </c>
      <c r="R38" s="228">
        <f t="shared" si="14"/>
        <v>35697.525539858543</v>
      </c>
      <c r="S38" s="228">
        <f t="shared" si="14"/>
        <v>39277.186134981268</v>
      </c>
      <c r="T38" s="228">
        <f t="shared" si="14"/>
        <v>39703.113513530152</v>
      </c>
      <c r="U38" s="228">
        <f t="shared" si="14"/>
        <v>40351.920164910676</v>
      </c>
      <c r="V38" s="228">
        <f t="shared" si="14"/>
        <v>41053.775558126094</v>
      </c>
      <c r="W38" s="228">
        <f t="shared" si="14"/>
        <v>41908.772729230608</v>
      </c>
      <c r="X38" s="228">
        <f t="shared" si="14"/>
        <v>42800.962277278159</v>
      </c>
    </row>
    <row r="39" spans="1:25" x14ac:dyDescent="0.3">
      <c r="B39" s="234" t="s">
        <v>306</v>
      </c>
      <c r="E39" s="228">
        <f>E5-E38</f>
        <v>0</v>
      </c>
      <c r="F39" s="228">
        <f t="shared" ref="F39:R39" si="15">F5-F38</f>
        <v>-3370.8117433857374</v>
      </c>
      <c r="G39" s="228">
        <f t="shared" si="15"/>
        <v>-5156.5676460582335</v>
      </c>
      <c r="H39" s="228">
        <f t="shared" si="15"/>
        <v>-7013.8025613779437</v>
      </c>
      <c r="I39" s="228">
        <f t="shared" si="15"/>
        <v>-8945.6258263950222</v>
      </c>
      <c r="J39" s="228">
        <f t="shared" si="15"/>
        <v>-11268.614368756957</v>
      </c>
      <c r="K39" s="228">
        <f t="shared" si="15"/>
        <v>-13686.451543592597</v>
      </c>
      <c r="L39" s="228">
        <f t="shared" si="15"/>
        <v>-16203.263266414549</v>
      </c>
      <c r="M39" s="228">
        <f t="shared" si="15"/>
        <v>-18823.354930060214</v>
      </c>
      <c r="N39" s="228">
        <f t="shared" si="15"/>
        <v>-21551.219211955431</v>
      </c>
      <c r="O39" s="228">
        <f t="shared" si="15"/>
        <v>-24587.376930016329</v>
      </c>
      <c r="P39" s="228">
        <f t="shared" si="15"/>
        <v>-27749.406139693838</v>
      </c>
      <c r="Q39" s="228">
        <f t="shared" si="15"/>
        <v>-31042.782250873275</v>
      </c>
      <c r="R39" s="228">
        <f t="shared" si="15"/>
        <v>-34473.218853769984</v>
      </c>
      <c r="S39" s="228">
        <f t="shared" ref="S39:X39" si="16">S5-S38</f>
        <v>-38046.678079773672</v>
      </c>
      <c r="T39" s="228">
        <f t="shared" si="16"/>
        <v>-38668.438167344837</v>
      </c>
      <c r="U39" s="228">
        <f t="shared" si="16"/>
        <v>-39341.035573396999</v>
      </c>
      <c r="V39" s="228">
        <f t="shared" si="16"/>
        <v>-40160.390792471757</v>
      </c>
      <c r="W39" s="228">
        <f t="shared" si="16"/>
        <v>-41015.387963576271</v>
      </c>
      <c r="X39" s="228">
        <f t="shared" si="16"/>
        <v>-41907.577511623822</v>
      </c>
    </row>
    <row r="40" spans="1:25" x14ac:dyDescent="0.3">
      <c r="B40" s="234" t="s">
        <v>304</v>
      </c>
      <c r="E40" s="3">
        <f>损益!G29*参数表!$C$60</f>
        <v>0</v>
      </c>
      <c r="F40" s="3">
        <f>损益!H29*参数表!$C$60</f>
        <v>0</v>
      </c>
      <c r="G40" s="3">
        <f>损益!I29*参数表!$C$60</f>
        <v>0</v>
      </c>
      <c r="H40" s="3">
        <f>损益!J29*参数表!$C$60</f>
        <v>0</v>
      </c>
      <c r="I40" s="3">
        <f>损益!K29*参数表!$C$60</f>
        <v>0</v>
      </c>
      <c r="J40" s="3">
        <f>损益!L29*参数表!$C$60</f>
        <v>0</v>
      </c>
      <c r="K40" s="3">
        <f>损益!M29*参数表!$C$60</f>
        <v>0</v>
      </c>
      <c r="L40" s="3">
        <f>损益!N29*参数表!$C$60</f>
        <v>0</v>
      </c>
      <c r="M40" s="3">
        <f>损益!O29*参数表!$C$60</f>
        <v>0</v>
      </c>
      <c r="N40" s="3">
        <f>损益!P29*参数表!$C$60</f>
        <v>0</v>
      </c>
      <c r="O40" s="3">
        <f>损益!Q29*参数表!$C$60</f>
        <v>0</v>
      </c>
      <c r="P40" s="3">
        <f>损益!R29*参数表!$C$60</f>
        <v>0</v>
      </c>
      <c r="Q40" s="3">
        <f>损益!S29*参数表!$C$60</f>
        <v>0</v>
      </c>
      <c r="R40" s="3">
        <f>损益!T29*参数表!$C$60</f>
        <v>0</v>
      </c>
      <c r="S40" s="3">
        <f>损益!U29*参数表!$C$60</f>
        <v>0</v>
      </c>
      <c r="T40" s="3">
        <f>损益!V29*参数表!$C$60</f>
        <v>0</v>
      </c>
      <c r="U40" s="3">
        <f>损益!W29*参数表!$C$60</f>
        <v>0</v>
      </c>
      <c r="V40" s="3">
        <f>损益!X29*参数表!$C$60</f>
        <v>0</v>
      </c>
      <c r="W40" s="3">
        <f>损益!Y29*参数表!$C$60</f>
        <v>0</v>
      </c>
      <c r="X40" s="3">
        <f>损益!Z29*参数表!$C$60</f>
        <v>0</v>
      </c>
    </row>
    <row r="41" spans="1:25" x14ac:dyDescent="0.3">
      <c r="B41" s="234" t="s">
        <v>307</v>
      </c>
      <c r="E41" s="228">
        <f>E40</f>
        <v>0</v>
      </c>
      <c r="F41" s="228">
        <f t="shared" ref="F41:S41" si="17">F40</f>
        <v>0</v>
      </c>
      <c r="G41" s="228">
        <f t="shared" si="17"/>
        <v>0</v>
      </c>
      <c r="H41" s="228">
        <f t="shared" si="17"/>
        <v>0</v>
      </c>
      <c r="I41" s="228">
        <f t="shared" si="17"/>
        <v>0</v>
      </c>
      <c r="J41" s="228">
        <f t="shared" si="17"/>
        <v>0</v>
      </c>
      <c r="K41" s="228">
        <f t="shared" si="17"/>
        <v>0</v>
      </c>
      <c r="L41" s="228">
        <f t="shared" si="17"/>
        <v>0</v>
      </c>
      <c r="M41" s="228">
        <f t="shared" si="17"/>
        <v>0</v>
      </c>
      <c r="N41" s="228">
        <f t="shared" si="17"/>
        <v>0</v>
      </c>
      <c r="O41" s="228">
        <f t="shared" si="17"/>
        <v>0</v>
      </c>
      <c r="P41" s="228">
        <f t="shared" si="17"/>
        <v>0</v>
      </c>
      <c r="Q41" s="228">
        <f t="shared" si="17"/>
        <v>0</v>
      </c>
      <c r="R41" s="228">
        <f t="shared" si="17"/>
        <v>0</v>
      </c>
      <c r="S41" s="228">
        <f t="shared" si="17"/>
        <v>0</v>
      </c>
      <c r="T41" s="228">
        <f>T40</f>
        <v>0</v>
      </c>
      <c r="U41" s="228">
        <f>U40</f>
        <v>0</v>
      </c>
      <c r="V41" s="228">
        <f>V40</f>
        <v>0</v>
      </c>
      <c r="W41" s="228">
        <f>W40</f>
        <v>0</v>
      </c>
      <c r="X41" s="228">
        <f>X40</f>
        <v>0</v>
      </c>
    </row>
    <row r="42" spans="1:25" x14ac:dyDescent="0.3">
      <c r="B42" s="234" t="s">
        <v>309</v>
      </c>
      <c r="E42" s="228">
        <f>E5+E17-E28</f>
        <v>0</v>
      </c>
      <c r="F42" s="228">
        <f t="shared" ref="F42:X42" si="18">F5+F17-F28</f>
        <v>0</v>
      </c>
      <c r="G42" s="228">
        <f t="shared" si="18"/>
        <v>0</v>
      </c>
      <c r="H42" s="228">
        <f t="shared" si="18"/>
        <v>0</v>
      </c>
      <c r="I42" s="228">
        <f t="shared" si="18"/>
        <v>0</v>
      </c>
      <c r="J42" s="228">
        <f t="shared" si="18"/>
        <v>0</v>
      </c>
      <c r="K42" s="228">
        <f t="shared" si="18"/>
        <v>0</v>
      </c>
      <c r="L42" s="228">
        <f t="shared" si="18"/>
        <v>0</v>
      </c>
      <c r="M42" s="228">
        <f t="shared" si="18"/>
        <v>0</v>
      </c>
      <c r="N42" s="228">
        <f t="shared" si="18"/>
        <v>0</v>
      </c>
      <c r="O42" s="228">
        <f t="shared" si="18"/>
        <v>0</v>
      </c>
      <c r="P42" s="228">
        <f t="shared" si="18"/>
        <v>0</v>
      </c>
      <c r="Q42" s="228">
        <f t="shared" si="18"/>
        <v>0</v>
      </c>
      <c r="R42" s="228">
        <f t="shared" si="18"/>
        <v>0</v>
      </c>
      <c r="S42" s="228">
        <f t="shared" si="18"/>
        <v>0</v>
      </c>
      <c r="T42" s="228">
        <f t="shared" si="18"/>
        <v>0</v>
      </c>
      <c r="U42" s="228">
        <f t="shared" si="18"/>
        <v>0</v>
      </c>
      <c r="V42" s="228">
        <f t="shared" si="18"/>
        <v>0</v>
      </c>
      <c r="W42" s="228">
        <f t="shared" si="18"/>
        <v>0</v>
      </c>
      <c r="X42" s="228">
        <f t="shared" si="18"/>
        <v>0</v>
      </c>
    </row>
  </sheetData>
  <mergeCells count="5">
    <mergeCell ref="A1:T1"/>
    <mergeCell ref="E3:X3"/>
    <mergeCell ref="A3:A4"/>
    <mergeCell ref="B3:B4"/>
    <mergeCell ref="C3:C4"/>
  </mergeCells>
  <phoneticPr fontId="61" type="noConversion"/>
  <pageMargins left="0.69930555555555551" right="0.69930555555555551" top="0.75" bottom="0.75" header="0.3" footer="0.3"/>
  <pageSetup paperSize="9" orientation="portrait" horizontalDpi="300" verticalDpi="300"/>
  <headerFooter alignWithMargin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47608-C6C8-4A85-94A6-36638C7D92E8}">
  <dimension ref="A1:Z32"/>
  <sheetViews>
    <sheetView workbookViewId="0">
      <selection activeCell="B34" sqref="B34"/>
    </sheetView>
  </sheetViews>
  <sheetFormatPr defaultRowHeight="15" x14ac:dyDescent="0.3"/>
  <cols>
    <col min="1" max="1" width="31.85546875" bestFit="1" customWidth="1"/>
    <col min="2" max="2" width="12.85546875" bestFit="1" customWidth="1"/>
    <col min="3" max="3" width="12.7109375" bestFit="1" customWidth="1"/>
    <col min="4" max="6" width="10.7109375" bestFit="1" customWidth="1"/>
    <col min="7" max="7" width="10.5703125" bestFit="1" customWidth="1"/>
    <col min="8" max="9" width="10.7109375" bestFit="1" customWidth="1"/>
    <col min="10" max="10" width="14" bestFit="1" customWidth="1"/>
    <col min="11" max="11" width="10.5703125" bestFit="1" customWidth="1"/>
    <col min="12" max="13" width="10.5" bestFit="1" customWidth="1"/>
    <col min="14" max="14" width="10.85546875" bestFit="1" customWidth="1"/>
    <col min="15" max="27" width="9.5" bestFit="1" customWidth="1"/>
  </cols>
  <sheetData>
    <row r="1" spans="1:26" x14ac:dyDescent="0.3">
      <c r="A1" s="224" t="s">
        <v>314</v>
      </c>
      <c r="B1" s="237">
        <f>参数表!C61</f>
        <v>8.5000000000000006E-2</v>
      </c>
    </row>
    <row r="2" spans="1:26" x14ac:dyDescent="0.3">
      <c r="C2" s="238"/>
      <c r="D2" s="238"/>
      <c r="E2" s="238"/>
      <c r="F2" s="238"/>
      <c r="G2" s="238"/>
      <c r="H2" s="238"/>
      <c r="I2" s="238"/>
      <c r="J2" s="238"/>
      <c r="K2" s="238"/>
      <c r="L2" s="238"/>
      <c r="M2" s="238"/>
      <c r="N2" s="238"/>
      <c r="O2" s="238"/>
      <c r="P2" s="238"/>
      <c r="Q2" s="238"/>
      <c r="R2" s="238"/>
      <c r="S2" s="238"/>
      <c r="T2" s="238"/>
      <c r="U2" s="238"/>
      <c r="V2" s="238"/>
      <c r="W2" s="238"/>
      <c r="X2" s="238"/>
      <c r="Y2" s="238"/>
      <c r="Z2" s="238"/>
    </row>
    <row r="3" spans="1:26" x14ac:dyDescent="0.3">
      <c r="A3" s="533" t="s">
        <v>274</v>
      </c>
      <c r="B3" s="534"/>
      <c r="C3" s="534"/>
      <c r="D3" s="534"/>
      <c r="E3" s="534"/>
      <c r="F3" s="534"/>
      <c r="G3" s="534"/>
      <c r="H3" s="534"/>
      <c r="I3" s="534"/>
      <c r="J3" s="534"/>
      <c r="K3" s="534"/>
      <c r="L3" s="534"/>
      <c r="M3" s="534"/>
      <c r="N3" s="534"/>
      <c r="O3" s="534"/>
      <c r="P3" s="534"/>
      <c r="Q3" s="534"/>
      <c r="R3" s="534"/>
      <c r="S3" s="534"/>
      <c r="T3" s="534"/>
      <c r="U3" s="535"/>
    </row>
    <row r="4" spans="1:26" x14ac:dyDescent="0.3">
      <c r="A4" s="214" t="s">
        <v>280</v>
      </c>
      <c r="B4" s="213">
        <v>1</v>
      </c>
      <c r="C4" s="213">
        <v>2</v>
      </c>
      <c r="D4" s="213">
        <v>3</v>
      </c>
      <c r="E4" s="213">
        <v>4</v>
      </c>
      <c r="F4" s="213">
        <v>5</v>
      </c>
      <c r="G4" s="213">
        <v>6</v>
      </c>
      <c r="H4" s="213">
        <v>7</v>
      </c>
      <c r="I4" s="213">
        <v>8</v>
      </c>
      <c r="J4" s="213">
        <v>9</v>
      </c>
      <c r="K4" s="213">
        <v>10</v>
      </c>
      <c r="L4" s="213">
        <v>11</v>
      </c>
      <c r="M4" s="213">
        <v>12</v>
      </c>
      <c r="N4" s="213">
        <v>13</v>
      </c>
      <c r="O4" s="213">
        <v>14</v>
      </c>
      <c r="P4" s="213">
        <v>15</v>
      </c>
      <c r="Q4" s="213">
        <v>16</v>
      </c>
      <c r="R4" s="213">
        <v>17</v>
      </c>
      <c r="S4" s="213">
        <v>18</v>
      </c>
      <c r="T4" s="213">
        <v>19</v>
      </c>
      <c r="U4" s="213">
        <v>20</v>
      </c>
    </row>
    <row r="5" spans="1:26" s="34" customFormat="1" ht="14.15" x14ac:dyDescent="0.3">
      <c r="A5" s="215" t="s">
        <v>276</v>
      </c>
      <c r="B5" s="216">
        <f>现金流量!E59</f>
        <v>0</v>
      </c>
      <c r="C5" s="216">
        <f>现金流量!F59</f>
        <v>0</v>
      </c>
      <c r="D5" s="216">
        <f>现金流量!G59</f>
        <v>0</v>
      </c>
      <c r="E5" s="216">
        <f>现金流量!H59</f>
        <v>0</v>
      </c>
      <c r="F5" s="216">
        <f>现金流量!I59</f>
        <v>0</v>
      </c>
      <c r="G5" s="216">
        <f>现金流量!J59</f>
        <v>0</v>
      </c>
      <c r="H5" s="216">
        <f>现金流量!K59</f>
        <v>0</v>
      </c>
      <c r="I5" s="216">
        <f>现金流量!L59</f>
        <v>0</v>
      </c>
      <c r="J5" s="216">
        <f>现金流量!M59</f>
        <v>-2.0463630789890885E-12</v>
      </c>
      <c r="K5" s="216">
        <f>现金流量!N59</f>
        <v>-1.8189894035458565E-12</v>
      </c>
      <c r="L5" s="216">
        <f>现金流量!O59</f>
        <v>0</v>
      </c>
      <c r="M5" s="216">
        <f>现金流量!P59</f>
        <v>-2.0463630789890885E-12</v>
      </c>
      <c r="N5" s="216">
        <f>现金流量!Q59</f>
        <v>2.2737367544323206E-12</v>
      </c>
      <c r="O5" s="216">
        <f>现金流量!R59</f>
        <v>2.5011104298755527E-12</v>
      </c>
      <c r="P5" s="216">
        <f>现金流量!S59</f>
        <v>0</v>
      </c>
      <c r="Q5" s="216">
        <f>现金流量!T59</f>
        <v>2.7284841053187847E-12</v>
      </c>
      <c r="R5" s="216">
        <f>现金流量!U59</f>
        <v>0</v>
      </c>
      <c r="S5" s="216">
        <f>现金流量!V59</f>
        <v>0</v>
      </c>
      <c r="T5" s="216">
        <f>现金流量!W59</f>
        <v>0</v>
      </c>
      <c r="U5" s="216">
        <f>现金流量!X59</f>
        <v>1958.3270902228269</v>
      </c>
      <c r="V5" s="84"/>
      <c r="W5" s="84"/>
    </row>
    <row r="6" spans="1:26" s="34" customFormat="1" ht="14.15" x14ac:dyDescent="0.3">
      <c r="A6" s="215" t="s">
        <v>277</v>
      </c>
      <c r="B6" s="216">
        <f>B5*(1+参数表!$C$61)^(现金流量!$X$4-现金流量!E$4)</f>
        <v>0</v>
      </c>
      <c r="C6" s="216">
        <f>C5*(1+参数表!$C$61)^(现金流量!$X$4-现金流量!F$4)</f>
        <v>0</v>
      </c>
      <c r="D6" s="216">
        <f>D5*(1+参数表!$C$61)^(现金流量!$X$4-现金流量!G$4)</f>
        <v>0</v>
      </c>
      <c r="E6" s="216">
        <f>E5*(1+参数表!$C$61)^(现金流量!$X$4-现金流量!H$4)</f>
        <v>0</v>
      </c>
      <c r="F6" s="216">
        <f>F5*(1+参数表!$C$61)^(现金流量!$X$4-现金流量!I$4)</f>
        <v>0</v>
      </c>
      <c r="G6" s="216">
        <f>G5*(1+参数表!$C$61)^(现金流量!$X$4-现金流量!J$4)</f>
        <v>0</v>
      </c>
      <c r="H6" s="216">
        <f>H5*(1+参数表!$C$61)^(现金流量!$X$4-现金流量!K$4)</f>
        <v>0</v>
      </c>
      <c r="I6" s="216">
        <f>I5*(1+参数表!$C$61)^(现金流量!$X$4-现金流量!L$4)</f>
        <v>0</v>
      </c>
      <c r="J6" s="216">
        <f>J5*(1+参数表!$C$61)^(现金流量!$X$4-现金流量!M$4)</f>
        <v>-5.0200704459538738E-12</v>
      </c>
      <c r="K6" s="216">
        <f>K5*(1+参数表!$C$61)^(现金流量!$X$4-现金流量!N$4)</f>
        <v>-4.1127049224404496E-12</v>
      </c>
      <c r="L6" s="216">
        <f>L5*(1+参数表!$C$61)^(现金流量!$X$4-现金流量!O$4)</f>
        <v>0</v>
      </c>
      <c r="M6" s="216">
        <f>M5*(1+参数表!$C$61)^(现金流量!$X$4-现金流量!P$4)</f>
        <v>-3.9302538068300504E-12</v>
      </c>
      <c r="N6" s="216">
        <f>N5*(1+参数表!$C$61)^(现金流量!$X$4-现金流量!Q$4)</f>
        <v>4.0248374877931909E-12</v>
      </c>
      <c r="O6" s="216">
        <f>O5*(1+参数表!$C$61)^(现金流量!$X$4-现金流量!R$4)</f>
        <v>4.0804804023709765E-12</v>
      </c>
      <c r="P6" s="216">
        <f>P5*(1+参数表!$C$61)^(现金流量!$X$4-现金流量!S$4)</f>
        <v>0</v>
      </c>
      <c r="Q6" s="216">
        <f>Q5*(1+参数表!$C$61)^(现金流量!$X$4-现金流量!T$4)</f>
        <v>3.7812934368730564E-12</v>
      </c>
      <c r="R6" s="216">
        <f>R5*(1+参数表!$C$61)^(现金流量!$X$4-现金流量!U$4)</f>
        <v>0</v>
      </c>
      <c r="S6" s="216">
        <f>S5*(1+参数表!$C$61)^(现金流量!$X$4-现金流量!V$4)</f>
        <v>0</v>
      </c>
      <c r="T6" s="216">
        <f>T5*(1+参数表!$C$61)^(现金流量!$X$4-现金流量!W$4)</f>
        <v>0</v>
      </c>
      <c r="U6" s="216">
        <f>U5*(1+参数表!$C$61)^(现金流量!$X$4-现金流量!X$4)</f>
        <v>1958.3270902228269</v>
      </c>
      <c r="V6" s="84"/>
      <c r="W6" s="84"/>
    </row>
    <row r="7" spans="1:26" s="34" customFormat="1" ht="14.15" x14ac:dyDescent="0.3">
      <c r="A7" s="215" t="s">
        <v>282</v>
      </c>
      <c r="B7" s="216">
        <f>SUM(B6:$U6)/(1+参数表!$C$61)^(现金流量!$X4-现金流量!E4+1)</f>
        <v>383.08087260588962</v>
      </c>
      <c r="C7" s="216">
        <f>SUM(C6:$U6)/(1+参数表!$C$61)^(现金流量!$X4-现金流量!F4+1)</f>
        <v>415.64274677739019</v>
      </c>
      <c r="D7" s="216">
        <f>SUM(D6:$U6)/(1+参数表!$C$61)^(现金流量!$X4-现金流量!G4+1)</f>
        <v>450.97238025346837</v>
      </c>
      <c r="E7" s="216">
        <f>SUM(E6:$U6)/(1+参数表!$C$61)^(现金流量!$X4-现金流量!H4+1)</f>
        <v>489.30503257501323</v>
      </c>
      <c r="F7" s="216">
        <f>SUM(F6:$U6)/(1+参数表!$C$61)^(现金流量!$X4-现金流量!I4+1)</f>
        <v>530.89596034388933</v>
      </c>
      <c r="G7" s="216">
        <f>SUM(G6:$U6)/(1+参数表!$C$61)^(现金流量!$X4-现金流量!J4+1)</f>
        <v>576.02211697311986</v>
      </c>
      <c r="H7" s="216">
        <f>SUM(H6:$U6)/(1+参数表!$C$61)^(现金流量!$X4-现金流量!K4+1)</f>
        <v>624.98399691583506</v>
      </c>
      <c r="I7" s="216">
        <f>SUM(I6:$U6)/(1+参数表!$C$61)^(现金流量!$X4-现金流量!L4+1)</f>
        <v>678.10763665368097</v>
      </c>
      <c r="J7" s="216">
        <f>SUM(J6:$U6)/(1+参数表!$C$61)^(现金流量!$X4-现金流量!M4+1)</f>
        <v>735.74678576924396</v>
      </c>
      <c r="K7" s="216">
        <f>SUM(K6:$U6)/(1+参数表!$C$61)^(现金流量!$X4-现金流量!N4+1)</f>
        <v>798.28526255963152</v>
      </c>
      <c r="L7" s="216">
        <f>SUM(L6:$U6)/(1+参数表!$C$61)^(现金流量!$X4-现金流量!O4+1)</f>
        <v>866.13950987720193</v>
      </c>
      <c r="M7" s="216">
        <f>SUM(M6:$U6)/(1+参数表!$C$61)^(现金流量!$X4-现金流量!P4+1)</f>
        <v>939.76136821676425</v>
      </c>
      <c r="N7" s="216">
        <f>SUM(N6:$U6)/(1+参数表!$C$61)^(现金流量!$X4-现金流量!Q4+1)</f>
        <v>1019.6410845151911</v>
      </c>
      <c r="O7" s="216">
        <f>SUM(O6:$U6)/(1+参数表!$C$61)^(现金流量!$X4-现金流量!R4+1)</f>
        <v>1106.31057669898</v>
      </c>
      <c r="P7" s="216">
        <f>SUM(P6:$U6)/(1+参数表!$C$61)^(现金流量!$X4-现金流量!S4+1)</f>
        <v>1200.3469757183909</v>
      </c>
      <c r="Q7" s="216">
        <f>SUM(Q6:$U6)/(1+参数表!$C$61)^(现金流量!$X4-现金流量!T4+1)</f>
        <v>1302.3764686544541</v>
      </c>
      <c r="R7" s="216">
        <f>SUM(R6:$U6)/(1+参数表!$C$61)^(现金流量!$X4-现金流量!U4+1)</f>
        <v>1413.0784684900798</v>
      </c>
      <c r="S7" s="216">
        <f>SUM(S6:$U6)/(1+参数表!$C$61)^(现金流量!$X4-现金流量!V4+1)</f>
        <v>1533.1901383117365</v>
      </c>
      <c r="T7" s="216">
        <f>SUM(T6:$U6)/(1+参数表!$C$61)^(现金流量!$X4-现金流量!W4+1)</f>
        <v>1663.511300068234</v>
      </c>
      <c r="U7" s="216">
        <f>SUM(U6:$U6)/(1+参数表!$C$61)^(现金流量!$X4-现金流量!X4+1)</f>
        <v>1804.909760574034</v>
      </c>
      <c r="V7" s="84"/>
      <c r="W7" s="84"/>
    </row>
    <row r="8" spans="1:26" s="34" customFormat="1" ht="14.15" x14ac:dyDescent="0.3">
      <c r="A8" s="217" t="s">
        <v>303</v>
      </c>
      <c r="B8" s="219">
        <f t="shared" ref="B8:U8" si="0">B7</f>
        <v>383.08087260588962</v>
      </c>
      <c r="C8" s="219">
        <f t="shared" si="0"/>
        <v>415.64274677739019</v>
      </c>
      <c r="D8" s="219">
        <f t="shared" si="0"/>
        <v>450.97238025346837</v>
      </c>
      <c r="E8" s="219">
        <f t="shared" si="0"/>
        <v>489.30503257501323</v>
      </c>
      <c r="F8" s="219">
        <f t="shared" si="0"/>
        <v>530.89596034388933</v>
      </c>
      <c r="G8" s="219">
        <f t="shared" si="0"/>
        <v>576.02211697311986</v>
      </c>
      <c r="H8" s="219">
        <f t="shared" si="0"/>
        <v>624.98399691583506</v>
      </c>
      <c r="I8" s="219">
        <f t="shared" si="0"/>
        <v>678.10763665368097</v>
      </c>
      <c r="J8" s="219">
        <f t="shared" si="0"/>
        <v>735.74678576924396</v>
      </c>
      <c r="K8" s="219">
        <f t="shared" si="0"/>
        <v>798.28526255963152</v>
      </c>
      <c r="L8" s="219">
        <f t="shared" si="0"/>
        <v>866.13950987720193</v>
      </c>
      <c r="M8" s="219">
        <f t="shared" si="0"/>
        <v>939.76136821676425</v>
      </c>
      <c r="N8" s="219">
        <f t="shared" si="0"/>
        <v>1019.6410845151911</v>
      </c>
      <c r="O8" s="219">
        <f t="shared" si="0"/>
        <v>1106.31057669898</v>
      </c>
      <c r="P8" s="219">
        <f t="shared" si="0"/>
        <v>1200.3469757183909</v>
      </c>
      <c r="Q8" s="219">
        <f t="shared" si="0"/>
        <v>1302.3764686544541</v>
      </c>
      <c r="R8" s="219">
        <f t="shared" si="0"/>
        <v>1413.0784684900798</v>
      </c>
      <c r="S8" s="219">
        <f t="shared" si="0"/>
        <v>1533.1901383117365</v>
      </c>
      <c r="T8" s="219">
        <f t="shared" si="0"/>
        <v>1663.511300068234</v>
      </c>
      <c r="U8" s="219">
        <f t="shared" si="0"/>
        <v>1804.909760574034</v>
      </c>
      <c r="V8" s="84"/>
      <c r="W8" s="84"/>
    </row>
    <row r="9" spans="1:26" s="34" customFormat="1" ht="14.15" x14ac:dyDescent="0.3">
      <c r="A9" s="215" t="s">
        <v>310</v>
      </c>
      <c r="B9" s="219">
        <f>MAX((B8-B14)*参数表!$C$62,0)</f>
        <v>0</v>
      </c>
      <c r="C9" s="219">
        <f>MAX((C8-C14)*参数表!$C$62,0)</f>
        <v>0</v>
      </c>
      <c r="D9" s="219">
        <f>MAX((D8-D14)*参数表!$C$62,0)</f>
        <v>0</v>
      </c>
      <c r="E9" s="219">
        <f>MAX((E8-E14)*参数表!$C$62,0)</f>
        <v>0</v>
      </c>
      <c r="F9" s="219">
        <f>MAX((F8-F14)*参数表!$C$62,0)</f>
        <v>0</v>
      </c>
      <c r="G9" s="219">
        <f>MAX((G8-G14)*参数表!$C$62,0)</f>
        <v>0</v>
      </c>
      <c r="H9" s="219">
        <f>MAX((H8-H14)*参数表!$C$62,0)</f>
        <v>0</v>
      </c>
      <c r="I9" s="219">
        <f>MAX((I8-I14)*参数表!$C$62,0)</f>
        <v>0</v>
      </c>
      <c r="J9" s="219">
        <f>MAX((J8-J14)*参数表!$C$62,0)</f>
        <v>0</v>
      </c>
      <c r="K9" s="219">
        <f>MAX((K8-K14)*参数表!$C$62,0)</f>
        <v>0</v>
      </c>
      <c r="L9" s="219">
        <f>MAX((L8-L14)*参数表!$C$62,0)</f>
        <v>0</v>
      </c>
      <c r="M9" s="219">
        <f>MAX((M8-M14)*参数表!$C$62,0)</f>
        <v>0</v>
      </c>
      <c r="N9" s="219">
        <f>MAX((N8-N14)*参数表!$C$62,0)</f>
        <v>0</v>
      </c>
      <c r="O9" s="219">
        <f>MAX((O8-O14)*参数表!$C$62,0)</f>
        <v>0</v>
      </c>
      <c r="P9" s="219">
        <f>MAX((P8-P14)*参数表!$C$62,0)</f>
        <v>0</v>
      </c>
      <c r="Q9" s="219">
        <f>MAX((Q8-Q14)*参数表!$C$62,0)</f>
        <v>0</v>
      </c>
      <c r="R9" s="219">
        <f>MAX((R8-R14)*参数表!$C$62,0)</f>
        <v>0</v>
      </c>
      <c r="S9" s="219">
        <f>MAX((S8-S14)*参数表!$C$62,0)</f>
        <v>0</v>
      </c>
      <c r="T9" s="219">
        <f>MAX((T8-T14)*参数表!$C$62,0)</f>
        <v>0</v>
      </c>
      <c r="U9" s="219">
        <f>MAX((U8-U14)*参数表!$C$62,0)</f>
        <v>0</v>
      </c>
      <c r="V9" s="84"/>
      <c r="W9" s="84"/>
    </row>
    <row r="10" spans="1:26" s="34" customFormat="1" ht="14.15" x14ac:dyDescent="0.3">
      <c r="A10" s="215" t="s">
        <v>311</v>
      </c>
      <c r="B10" s="219">
        <f t="shared" ref="B10:U10" si="1">B16*0.05%</f>
        <v>0.19154043630294482</v>
      </c>
      <c r="C10" s="219">
        <f t="shared" si="1"/>
        <v>0.20782137338869511</v>
      </c>
      <c r="D10" s="219">
        <f t="shared" si="1"/>
        <v>0.22548619012673418</v>
      </c>
      <c r="E10" s="219">
        <f t="shared" si="1"/>
        <v>0.24465251628750662</v>
      </c>
      <c r="F10" s="219">
        <f t="shared" si="1"/>
        <v>0.26544798017194465</v>
      </c>
      <c r="G10" s="219">
        <f t="shared" si="1"/>
        <v>0.28801105848655995</v>
      </c>
      <c r="H10" s="219">
        <f t="shared" si="1"/>
        <v>0.31249199845791753</v>
      </c>
      <c r="I10" s="219">
        <f t="shared" si="1"/>
        <v>0.33905381832684051</v>
      </c>
      <c r="J10" s="219">
        <f t="shared" si="1"/>
        <v>0.36787339288462201</v>
      </c>
      <c r="K10" s="219">
        <f t="shared" si="1"/>
        <v>0.39914263127981575</v>
      </c>
      <c r="L10" s="219">
        <f t="shared" si="1"/>
        <v>0.43306975493860095</v>
      </c>
      <c r="M10" s="219">
        <f t="shared" si="1"/>
        <v>0.46988068410838213</v>
      </c>
      <c r="N10" s="219">
        <f t="shared" si="1"/>
        <v>0.50982054225759554</v>
      </c>
      <c r="O10" s="219">
        <f t="shared" si="1"/>
        <v>0.55315528834949002</v>
      </c>
      <c r="P10" s="219">
        <f t="shared" si="1"/>
        <v>0.60017348785919544</v>
      </c>
      <c r="Q10" s="219">
        <f t="shared" si="1"/>
        <v>0.65118823432722706</v>
      </c>
      <c r="R10" s="219">
        <f t="shared" si="1"/>
        <v>0.70653923424503995</v>
      </c>
      <c r="S10" s="219">
        <f t="shared" si="1"/>
        <v>0.76659506915586828</v>
      </c>
      <c r="T10" s="219">
        <f t="shared" si="1"/>
        <v>0.831755650034117</v>
      </c>
      <c r="U10" s="219">
        <f t="shared" si="1"/>
        <v>0.90245488028701704</v>
      </c>
      <c r="V10" s="84"/>
      <c r="W10" s="84"/>
    </row>
    <row r="11" spans="1:26" s="34" customFormat="1" ht="14.15" x14ac:dyDescent="0.3">
      <c r="A11" s="215" t="s">
        <v>312</v>
      </c>
      <c r="B11" s="219">
        <f t="shared" ref="B11:U11" si="2">B8-B9-B10</f>
        <v>382.88933216958668</v>
      </c>
      <c r="C11" s="219">
        <f t="shared" si="2"/>
        <v>415.43492540400149</v>
      </c>
      <c r="D11" s="219">
        <f t="shared" si="2"/>
        <v>450.74689406334164</v>
      </c>
      <c r="E11" s="219">
        <f t="shared" si="2"/>
        <v>489.06038005872574</v>
      </c>
      <c r="F11" s="219">
        <f t="shared" si="2"/>
        <v>530.63051236371734</v>
      </c>
      <c r="G11" s="219">
        <f t="shared" si="2"/>
        <v>575.73410591463335</v>
      </c>
      <c r="H11" s="219">
        <f t="shared" si="2"/>
        <v>624.67150491737709</v>
      </c>
      <c r="I11" s="219">
        <f t="shared" si="2"/>
        <v>677.7685828353541</v>
      </c>
      <c r="J11" s="219">
        <f t="shared" si="2"/>
        <v>735.37891237635938</v>
      </c>
      <c r="K11" s="219">
        <f t="shared" si="2"/>
        <v>797.88611992835172</v>
      </c>
      <c r="L11" s="219">
        <f t="shared" si="2"/>
        <v>865.7064401222633</v>
      </c>
      <c r="M11" s="219">
        <f t="shared" si="2"/>
        <v>939.29148753265588</v>
      </c>
      <c r="N11" s="219">
        <f t="shared" si="2"/>
        <v>1019.1312639729335</v>
      </c>
      <c r="O11" s="219">
        <f t="shared" si="2"/>
        <v>1105.7574214106305</v>
      </c>
      <c r="P11" s="219">
        <f t="shared" si="2"/>
        <v>1199.7468022305318</v>
      </c>
      <c r="Q11" s="219">
        <f t="shared" si="2"/>
        <v>1301.7252804201269</v>
      </c>
      <c r="R11" s="219">
        <f t="shared" si="2"/>
        <v>1412.3719292558349</v>
      </c>
      <c r="S11" s="219">
        <f t="shared" si="2"/>
        <v>1532.4235432425808</v>
      </c>
      <c r="T11" s="219">
        <f t="shared" si="2"/>
        <v>1662.6795444181998</v>
      </c>
      <c r="U11" s="219">
        <f t="shared" si="2"/>
        <v>1804.007305693747</v>
      </c>
      <c r="V11" s="84"/>
      <c r="W11" s="84"/>
    </row>
    <row r="12" spans="1:26" s="34" customFormat="1" ht="14.15" x14ac:dyDescent="0.3">
      <c r="A12" s="215" t="s">
        <v>287</v>
      </c>
      <c r="B12" s="223">
        <f t="shared" ref="B12:U12" si="3">(B7+B15)/B14-1</f>
        <v>-0.95559010268431721</v>
      </c>
      <c r="C12" s="223">
        <f t="shared" si="3"/>
        <v>-0.95181526141248418</v>
      </c>
      <c r="D12" s="223">
        <f t="shared" si="3"/>
        <v>-0.94771955863254531</v>
      </c>
      <c r="E12" s="223">
        <f t="shared" si="3"/>
        <v>-0.94327572111631175</v>
      </c>
      <c r="F12" s="223">
        <f t="shared" si="3"/>
        <v>-0.9384541574111982</v>
      </c>
      <c r="G12" s="223">
        <f t="shared" si="3"/>
        <v>-0.93322276079115007</v>
      </c>
      <c r="H12" s="223">
        <f t="shared" si="3"/>
        <v>-0.92754669545839785</v>
      </c>
      <c r="I12" s="223">
        <f t="shared" si="3"/>
        <v>-0.92138816457236161</v>
      </c>
      <c r="J12" s="223">
        <f t="shared" si="3"/>
        <v>-0.91470615856101234</v>
      </c>
      <c r="K12" s="223">
        <f t="shared" si="3"/>
        <v>-0.90745618203869816</v>
      </c>
      <c r="L12" s="223">
        <f t="shared" si="3"/>
        <v>-0.89958995751198734</v>
      </c>
      <c r="M12" s="223">
        <f t="shared" si="3"/>
        <v>-0.89105510390050624</v>
      </c>
      <c r="N12" s="223">
        <f t="shared" si="3"/>
        <v>-0.88179478773204911</v>
      </c>
      <c r="O12" s="223">
        <f t="shared" si="3"/>
        <v>-0.87174734468927351</v>
      </c>
      <c r="P12" s="223">
        <f t="shared" si="3"/>
        <v>-0.86084586898786197</v>
      </c>
      <c r="Q12" s="223">
        <f t="shared" si="3"/>
        <v>-0.84901776785183025</v>
      </c>
      <c r="R12" s="223">
        <f t="shared" si="3"/>
        <v>-0.83618427811923624</v>
      </c>
      <c r="S12" s="223">
        <f t="shared" si="3"/>
        <v>-0.82225994175937134</v>
      </c>
      <c r="T12" s="223">
        <f t="shared" si="3"/>
        <v>-0.80715203680891789</v>
      </c>
      <c r="U12" s="223">
        <f t="shared" si="3"/>
        <v>-0.79075995993767589</v>
      </c>
      <c r="V12" s="84"/>
      <c r="W12" s="84"/>
    </row>
    <row r="13" spans="1:26" x14ac:dyDescent="0.3">
      <c r="A13" s="222" t="s">
        <v>285</v>
      </c>
    </row>
    <row r="14" spans="1:26" s="34" customFormat="1" ht="14.15" x14ac:dyDescent="0.3">
      <c r="A14" s="215" t="s">
        <v>288</v>
      </c>
      <c r="B14" s="219">
        <f>资产负债!D19</f>
        <v>8626.0247323429339</v>
      </c>
      <c r="C14" s="219">
        <f>资产负债!E19</f>
        <v>8626.0247323429339</v>
      </c>
      <c r="D14" s="219">
        <f>资产负债!F19</f>
        <v>8626.0247323429339</v>
      </c>
      <c r="E14" s="219">
        <f>资产负债!G19</f>
        <v>8626.0247323429339</v>
      </c>
      <c r="F14" s="219">
        <f>资产负债!H19</f>
        <v>8626.0247323429339</v>
      </c>
      <c r="G14" s="219">
        <f>资产负债!I19</f>
        <v>8626.0247323429339</v>
      </c>
      <c r="H14" s="219">
        <f>资产负债!J19</f>
        <v>8626.0247323429339</v>
      </c>
      <c r="I14" s="219">
        <f>资产负债!K19</f>
        <v>8626.0247323429339</v>
      </c>
      <c r="J14" s="219">
        <f>资产负债!L19</f>
        <v>8626.0247323429339</v>
      </c>
      <c r="K14" s="219">
        <f>资产负债!M19</f>
        <v>8626.0247323429339</v>
      </c>
      <c r="L14" s="219">
        <f>资产负债!N19</f>
        <v>8626.0247323429339</v>
      </c>
      <c r="M14" s="219">
        <f>资产负债!O19</f>
        <v>8626.0247323429339</v>
      </c>
      <c r="N14" s="219">
        <f>资产负债!P19</f>
        <v>8626.0247323429339</v>
      </c>
      <c r="O14" s="219">
        <f>资产负债!Q19</f>
        <v>8626.0247323429339</v>
      </c>
      <c r="P14" s="219">
        <f>资产负债!R19</f>
        <v>8626.0247323429339</v>
      </c>
      <c r="Q14" s="219">
        <f>资产负债!S19</f>
        <v>8626.0247323429339</v>
      </c>
      <c r="R14" s="219">
        <f>资产负债!T19</f>
        <v>8626.0247323429339</v>
      </c>
      <c r="S14" s="219">
        <f>资产负债!U19</f>
        <v>8626.0247323429339</v>
      </c>
      <c r="T14" s="219">
        <f>资产负债!V19</f>
        <v>8626.0247323429339</v>
      </c>
      <c r="U14" s="219">
        <f>资产负债!W19</f>
        <v>8626.0247323429339</v>
      </c>
      <c r="V14" s="84"/>
      <c r="W14" s="84"/>
    </row>
    <row r="15" spans="1:26" s="34" customFormat="1" ht="14.15" x14ac:dyDescent="0.3">
      <c r="A15" s="215" t="s">
        <v>286</v>
      </c>
      <c r="B15" s="219">
        <f>资产负债!D20</f>
        <v>0</v>
      </c>
      <c r="C15" s="219">
        <f>资产负债!E20</f>
        <v>0</v>
      </c>
      <c r="D15" s="219">
        <f>资产负债!F20</f>
        <v>0</v>
      </c>
      <c r="E15" s="219">
        <f>资产负债!G20</f>
        <v>0</v>
      </c>
      <c r="F15" s="219">
        <f>资产负债!H20</f>
        <v>0</v>
      </c>
      <c r="G15" s="219">
        <f>资产负债!I20</f>
        <v>0</v>
      </c>
      <c r="H15" s="219">
        <f>资产负债!J20</f>
        <v>0</v>
      </c>
      <c r="I15" s="219">
        <f>资产负债!K20</f>
        <v>0</v>
      </c>
      <c r="J15" s="219">
        <f>资产负债!L20</f>
        <v>0</v>
      </c>
      <c r="K15" s="219">
        <f>资产负债!M20</f>
        <v>0</v>
      </c>
      <c r="L15" s="219">
        <f>资产负债!N20</f>
        <v>0</v>
      </c>
      <c r="M15" s="219">
        <f>资产负债!O20</f>
        <v>0</v>
      </c>
      <c r="N15" s="219">
        <f>资产负债!P20</f>
        <v>0</v>
      </c>
      <c r="O15" s="219">
        <f>资产负债!Q20</f>
        <v>0</v>
      </c>
      <c r="P15" s="219">
        <f>资产负债!R20</f>
        <v>0</v>
      </c>
      <c r="Q15" s="219">
        <f>资产负债!S20</f>
        <v>0</v>
      </c>
      <c r="R15" s="219">
        <f>资产负债!T20</f>
        <v>0</v>
      </c>
      <c r="S15" s="219">
        <f>资产负债!U20</f>
        <v>0</v>
      </c>
      <c r="T15" s="219">
        <f>资产负债!V20</f>
        <v>0</v>
      </c>
      <c r="U15" s="219">
        <f>资产负债!W20</f>
        <v>0</v>
      </c>
      <c r="V15" s="84"/>
      <c r="W15" s="84"/>
    </row>
    <row r="16" spans="1:26" s="34" customFormat="1" ht="14.15" x14ac:dyDescent="0.3">
      <c r="A16" s="215" t="s">
        <v>289</v>
      </c>
      <c r="B16" s="219">
        <f t="shared" ref="B16:U16" si="4">B7+B15</f>
        <v>383.08087260588962</v>
      </c>
      <c r="C16" s="219">
        <f t="shared" si="4"/>
        <v>415.64274677739019</v>
      </c>
      <c r="D16" s="219">
        <f t="shared" si="4"/>
        <v>450.97238025346837</v>
      </c>
      <c r="E16" s="219">
        <f t="shared" si="4"/>
        <v>489.30503257501323</v>
      </c>
      <c r="F16" s="219">
        <f t="shared" si="4"/>
        <v>530.89596034388933</v>
      </c>
      <c r="G16" s="219">
        <f t="shared" si="4"/>
        <v>576.02211697311986</v>
      </c>
      <c r="H16" s="219">
        <f t="shared" si="4"/>
        <v>624.98399691583506</v>
      </c>
      <c r="I16" s="219">
        <f t="shared" si="4"/>
        <v>678.10763665368097</v>
      </c>
      <c r="J16" s="219">
        <f t="shared" si="4"/>
        <v>735.74678576924396</v>
      </c>
      <c r="K16" s="219">
        <f t="shared" si="4"/>
        <v>798.28526255963152</v>
      </c>
      <c r="L16" s="219">
        <f t="shared" si="4"/>
        <v>866.13950987720193</v>
      </c>
      <c r="M16" s="219">
        <f t="shared" si="4"/>
        <v>939.76136821676425</v>
      </c>
      <c r="N16" s="219">
        <f t="shared" si="4"/>
        <v>1019.6410845151911</v>
      </c>
      <c r="O16" s="219">
        <f t="shared" si="4"/>
        <v>1106.31057669898</v>
      </c>
      <c r="P16" s="219">
        <f t="shared" si="4"/>
        <v>1200.3469757183909</v>
      </c>
      <c r="Q16" s="219">
        <f t="shared" si="4"/>
        <v>1302.3764686544541</v>
      </c>
      <c r="R16" s="219">
        <f t="shared" si="4"/>
        <v>1413.0784684900798</v>
      </c>
      <c r="S16" s="219">
        <f t="shared" si="4"/>
        <v>1533.1901383117365</v>
      </c>
      <c r="T16" s="219">
        <f t="shared" si="4"/>
        <v>1663.511300068234</v>
      </c>
      <c r="U16" s="219">
        <f t="shared" si="4"/>
        <v>1804.909760574034</v>
      </c>
      <c r="V16" s="84"/>
      <c r="W16" s="84"/>
    </row>
    <row r="17" spans="1:26" hidden="1" x14ac:dyDescent="0.3">
      <c r="A17" s="225" t="s">
        <v>287</v>
      </c>
      <c r="B17" s="223">
        <f t="shared" ref="B17:U17" si="5">B16/B14-1</f>
        <v>-0.95559010268431721</v>
      </c>
      <c r="C17" s="223">
        <f t="shared" si="5"/>
        <v>-0.95181526141248418</v>
      </c>
      <c r="D17" s="223">
        <f t="shared" si="5"/>
        <v>-0.94771955863254531</v>
      </c>
      <c r="E17" s="223">
        <f t="shared" si="5"/>
        <v>-0.94327572111631175</v>
      </c>
      <c r="F17" s="223">
        <f t="shared" si="5"/>
        <v>-0.9384541574111982</v>
      </c>
      <c r="G17" s="223">
        <f t="shared" si="5"/>
        <v>-0.93322276079115007</v>
      </c>
      <c r="H17" s="223">
        <f t="shared" si="5"/>
        <v>-0.92754669545839785</v>
      </c>
      <c r="I17" s="223">
        <f t="shared" si="5"/>
        <v>-0.92138816457236161</v>
      </c>
      <c r="J17" s="223">
        <f t="shared" si="5"/>
        <v>-0.91470615856101234</v>
      </c>
      <c r="K17" s="223">
        <f t="shared" si="5"/>
        <v>-0.90745618203869816</v>
      </c>
      <c r="L17" s="223">
        <f t="shared" si="5"/>
        <v>-0.89958995751198734</v>
      </c>
      <c r="M17" s="223">
        <f t="shared" si="5"/>
        <v>-0.89105510390050624</v>
      </c>
      <c r="N17" s="223">
        <f t="shared" si="5"/>
        <v>-0.88179478773204911</v>
      </c>
      <c r="O17" s="223">
        <f t="shared" si="5"/>
        <v>-0.87174734468927351</v>
      </c>
      <c r="P17" s="223">
        <f t="shared" si="5"/>
        <v>-0.86084586898786197</v>
      </c>
      <c r="Q17" s="223">
        <f t="shared" si="5"/>
        <v>-0.84901776785183025</v>
      </c>
      <c r="R17" s="223">
        <f t="shared" si="5"/>
        <v>-0.83618427811923624</v>
      </c>
      <c r="S17" s="223">
        <f t="shared" si="5"/>
        <v>-0.82225994175937134</v>
      </c>
      <c r="T17" s="223">
        <f t="shared" si="5"/>
        <v>-0.80715203680891789</v>
      </c>
      <c r="U17" s="223">
        <f t="shared" si="5"/>
        <v>-0.79075995993767589</v>
      </c>
    </row>
    <row r="18" spans="1:26" s="34" customFormat="1" ht="17.149999999999999" hidden="1" customHeight="1" x14ac:dyDescent="0.3">
      <c r="A18" s="533" t="s">
        <v>281</v>
      </c>
      <c r="B18" s="534"/>
      <c r="C18" s="534"/>
      <c r="D18" s="534"/>
      <c r="E18" s="534"/>
      <c r="F18" s="534"/>
      <c r="G18" s="534"/>
      <c r="H18" s="534"/>
      <c r="I18" s="534"/>
      <c r="J18" s="534"/>
      <c r="K18" s="534"/>
      <c r="L18" s="534"/>
      <c r="M18" s="534"/>
      <c r="N18" s="534"/>
      <c r="O18" s="534"/>
      <c r="P18" s="534"/>
      <c r="Q18" s="534"/>
      <c r="R18" s="534"/>
      <c r="S18" s="534"/>
      <c r="T18" s="534"/>
      <c r="U18" s="535"/>
      <c r="V18" s="84"/>
      <c r="W18" s="84"/>
      <c r="X18" s="84"/>
      <c r="Y18" s="84"/>
      <c r="Z18" s="84"/>
    </row>
    <row r="19" spans="1:26" s="34" customFormat="1" ht="17.149999999999999" hidden="1" customHeight="1" x14ac:dyDescent="0.3">
      <c r="A19" s="212" t="s">
        <v>280</v>
      </c>
      <c r="B19" s="218">
        <v>1</v>
      </c>
      <c r="C19" s="220">
        <v>2</v>
      </c>
      <c r="D19" s="220">
        <v>3</v>
      </c>
      <c r="E19" s="220">
        <v>4</v>
      </c>
      <c r="F19" s="220">
        <v>5</v>
      </c>
      <c r="G19" s="220">
        <v>6</v>
      </c>
      <c r="H19" s="220">
        <v>7</v>
      </c>
      <c r="I19" s="220">
        <v>8</v>
      </c>
      <c r="J19" s="220">
        <v>9</v>
      </c>
      <c r="K19" s="220">
        <v>10</v>
      </c>
      <c r="L19" s="220">
        <v>11</v>
      </c>
      <c r="M19" s="220">
        <v>12</v>
      </c>
      <c r="N19" s="220">
        <v>13</v>
      </c>
      <c r="O19" s="220">
        <v>14</v>
      </c>
      <c r="P19" s="220">
        <v>15</v>
      </c>
      <c r="Q19" s="220">
        <v>16</v>
      </c>
      <c r="R19" s="220">
        <v>17</v>
      </c>
      <c r="S19" s="220">
        <v>18</v>
      </c>
      <c r="T19" s="220">
        <v>19</v>
      </c>
      <c r="U19" s="220">
        <v>20</v>
      </c>
      <c r="V19" s="84"/>
      <c r="W19" s="84"/>
      <c r="X19" s="84"/>
      <c r="Y19" s="84"/>
      <c r="Z19" s="84"/>
    </row>
    <row r="20" spans="1:26" s="34" customFormat="1" ht="17.149999999999999" hidden="1" customHeight="1" x14ac:dyDescent="0.3">
      <c r="A20" s="212" t="s">
        <v>283</v>
      </c>
      <c r="B20" s="221">
        <f>成本!E31</f>
        <v>36685.994156840905</v>
      </c>
      <c r="C20" s="221">
        <f>成本!F31</f>
        <v>34205.44650922533</v>
      </c>
      <c r="D20" s="221">
        <f>成本!G31</f>
        <v>31724.898861609752</v>
      </c>
      <c r="E20" s="221">
        <f>成本!H31</f>
        <v>29244.351213994174</v>
      </c>
      <c r="F20" s="221">
        <f>成本!I31</f>
        <v>26763.803566378596</v>
      </c>
      <c r="G20" s="221">
        <f>成本!J31</f>
        <v>24283.255918763018</v>
      </c>
      <c r="H20" s="221">
        <f>成本!K31</f>
        <v>21802.70827114744</v>
      </c>
      <c r="I20" s="221">
        <f>成本!L31</f>
        <v>19322.160623531861</v>
      </c>
      <c r="J20" s="221">
        <f>成本!M31</f>
        <v>16841.612975916283</v>
      </c>
      <c r="K20" s="221">
        <f>成本!N31</f>
        <v>14361.065328300707</v>
      </c>
      <c r="L20" s="221">
        <f>成本!O31</f>
        <v>11880.51768068513</v>
      </c>
      <c r="M20" s="221">
        <f>成本!P31</f>
        <v>9399.9700330695541</v>
      </c>
      <c r="N20" s="221">
        <f>成本!Q31</f>
        <v>6919.4223854539778</v>
      </c>
      <c r="O20" s="221">
        <f>成本!R31</f>
        <v>4438.8747378384014</v>
      </c>
      <c r="P20" s="221">
        <f>成本!S31</f>
        <v>1958.3270902228246</v>
      </c>
      <c r="Q20" s="221">
        <f>成本!T31</f>
        <v>1958.3270902228246</v>
      </c>
      <c r="R20" s="221">
        <f>成本!U31</f>
        <v>1958.3270902228246</v>
      </c>
      <c r="S20" s="221">
        <f>成本!V31</f>
        <v>1958.3270902228246</v>
      </c>
      <c r="T20" s="221">
        <f>成本!W31</f>
        <v>1958.3270902228246</v>
      </c>
      <c r="U20" s="221">
        <f>成本!X31</f>
        <v>1958.3270902228246</v>
      </c>
      <c r="V20" s="84"/>
      <c r="W20" s="84"/>
      <c r="X20" s="84"/>
      <c r="Y20" s="84"/>
      <c r="Z20" s="84"/>
    </row>
    <row r="21" spans="1:26" s="34" customFormat="1" ht="17.149999999999999" hidden="1" customHeight="1" x14ac:dyDescent="0.3">
      <c r="A21" s="212" t="s">
        <v>284</v>
      </c>
      <c r="B21" s="221">
        <f>现金流量!E20-现金流量!E19+成本!E6</f>
        <v>1417.3696301140292</v>
      </c>
      <c r="C21" s="221">
        <f>现金流量!F20-现金流量!F19+成本!F6</f>
        <v>1423.5709992330681</v>
      </c>
      <c r="D21" s="221">
        <f>现金流量!G20-现金流量!G19+成本!G6</f>
        <v>1429.7723683521062</v>
      </c>
      <c r="E21" s="221">
        <f>现金流量!H20-现金流量!H19+成本!H6</f>
        <v>1566.5454762391996</v>
      </c>
      <c r="F21" s="221">
        <f>现金流量!I20-现金流量!I19+成本!I6</f>
        <v>1571.9716742183589</v>
      </c>
      <c r="G21" s="221">
        <f>现金流量!J20-现金流量!J19+成本!J6</f>
        <v>1303.2320795663227</v>
      </c>
      <c r="H21" s="221">
        <f>现金流量!K20-现金流量!K19+成本!K6</f>
        <v>1476.0710446983526</v>
      </c>
      <c r="I21" s="221">
        <f>现金流量!L20-现金流量!L19+成本!L6</f>
        <v>1480.7220715376316</v>
      </c>
      <c r="J21" s="221">
        <f>现金流量!M20-现金流量!M19+成本!M6</f>
        <v>1485.3730983769105</v>
      </c>
      <c r="K21" s="221">
        <f>现金流量!N20-现金流量!N19+成本!N6</f>
        <v>1490.0241252161904</v>
      </c>
      <c r="L21" s="221">
        <f>现金流量!O20-现金流量!O19+成本!O6</f>
        <v>1347.8006202887577</v>
      </c>
      <c r="M21" s="221">
        <f>现金流量!P20-现金流量!P19+成本!P6</f>
        <v>1352.4516471280365</v>
      </c>
      <c r="N21" s="221">
        <f>现金流量!Q20-现金流量!Q19+成本!Q6</f>
        <v>1357.1026739673157</v>
      </c>
      <c r="O21" s="221">
        <f>现金流量!R20-现金流量!R19+成本!R6</f>
        <v>1361.7537008065949</v>
      </c>
      <c r="P21" s="221">
        <f>现金流量!S20-现金流量!S19+成本!S6</f>
        <v>1366.4047276458739</v>
      </c>
      <c r="Q21" s="221">
        <f>现金流量!T20-现金流量!T19+成本!T6</f>
        <v>599.3932839752681</v>
      </c>
      <c r="R21" s="221">
        <f>现金流量!U20-现金流量!U19+成本!U6</f>
        <v>611.2886613110868</v>
      </c>
      <c r="S21" s="221">
        <f>现金流量!V20-现金流量!V19+成本!V6</f>
        <v>670.03857424075488</v>
      </c>
      <c r="T21" s="221">
        <f>现金流量!W20-现金流量!W19+成本!W6</f>
        <v>670.038574240755</v>
      </c>
      <c r="U21" s="221">
        <f>现金流量!X20-现金流量!X19+成本!X6</f>
        <v>670.038574240755</v>
      </c>
      <c r="V21" s="84"/>
      <c r="W21" s="84"/>
      <c r="X21" s="84"/>
      <c r="Y21" s="84"/>
      <c r="Z21" s="84"/>
    </row>
    <row r="22" spans="1:26" s="34" customFormat="1" ht="14.15" hidden="1" x14ac:dyDescent="0.3">
      <c r="A22" s="215" t="s">
        <v>276</v>
      </c>
      <c r="B22" s="216">
        <f>B21</f>
        <v>1417.3696301140292</v>
      </c>
      <c r="C22" s="216">
        <f>现金流量!F20-现金流量!F19+成本!F6</f>
        <v>1423.5709992330681</v>
      </c>
      <c r="D22" s="216">
        <f>现金流量!G20-现金流量!G19+成本!G6</f>
        <v>1429.7723683521062</v>
      </c>
      <c r="E22" s="216">
        <f>现金流量!H20-现金流量!H19+成本!H6</f>
        <v>1566.5454762391996</v>
      </c>
      <c r="F22" s="216">
        <f>现金流量!I20-现金流量!I19+成本!I6</f>
        <v>1571.9716742183589</v>
      </c>
      <c r="G22" s="216">
        <f>现金流量!J20-现金流量!J19+成本!J6</f>
        <v>1303.2320795663227</v>
      </c>
      <c r="H22" s="216">
        <f>现金流量!K20-现金流量!K19+成本!K6</f>
        <v>1476.0710446983526</v>
      </c>
      <c r="I22" s="216">
        <f>现金流量!L20-现金流量!L19+成本!L6</f>
        <v>1480.7220715376316</v>
      </c>
      <c r="J22" s="216">
        <f>现金流量!M20-现金流量!M19+成本!M6</f>
        <v>1485.3730983769105</v>
      </c>
      <c r="K22" s="216">
        <f>现金流量!N20-现金流量!N19+成本!N6</f>
        <v>1490.0241252161904</v>
      </c>
      <c r="L22" s="216">
        <f>现金流量!O20-现金流量!O19+成本!O6</f>
        <v>1347.8006202887577</v>
      </c>
      <c r="M22" s="216">
        <f>现金流量!P20-现金流量!P19+成本!P6</f>
        <v>1352.4516471280365</v>
      </c>
      <c r="N22" s="216">
        <f>现金流量!Q20-现金流量!Q19+成本!Q6</f>
        <v>1357.1026739673157</v>
      </c>
      <c r="O22" s="216">
        <f>现金流量!R20-现金流量!R19+成本!R6</f>
        <v>1361.7537008065949</v>
      </c>
      <c r="P22" s="216">
        <f>现金流量!S20-现金流量!S19+成本!S6</f>
        <v>1366.4047276458739</v>
      </c>
      <c r="Q22" s="216">
        <f>现金流量!T20-现金流量!T19+成本!T6</f>
        <v>599.3932839752681</v>
      </c>
      <c r="R22" s="216">
        <f>现金流量!U20-现金流量!U19+成本!U6</f>
        <v>611.2886613110868</v>
      </c>
      <c r="S22" s="216">
        <f>现金流量!V20-现金流量!V19+成本!V6</f>
        <v>670.03857424075488</v>
      </c>
      <c r="T22" s="216">
        <f>现金流量!W20-现金流量!W19+成本!W6</f>
        <v>670.038574240755</v>
      </c>
      <c r="U22" s="216">
        <f>现金流量!X20-现金流量!X19+成本!X6</f>
        <v>670.038574240755</v>
      </c>
    </row>
    <row r="23" spans="1:26" s="34" customFormat="1" ht="14.15" hidden="1" x14ac:dyDescent="0.3">
      <c r="A23" s="215" t="s">
        <v>277</v>
      </c>
      <c r="B23" s="216">
        <f>B22*(1+参数表!$C$61)^(现金流量!$X$4-现金流量!E$4)</f>
        <v>6678.0266587883079</v>
      </c>
      <c r="C23" s="216">
        <f>C22*(1+参数表!$C$61)^(现金流量!$X$4-现金流量!F$4)</f>
        <v>6181.7924438893706</v>
      </c>
      <c r="D23" s="216">
        <f>D22*(1+参数表!$C$61)^(现金流量!$X$4-现金流量!G$4)</f>
        <v>5722.324062478815</v>
      </c>
      <c r="E23" s="216">
        <f>E22*(1+参数表!$C$61)^(现金流量!$X$4-现金流量!H$4)</f>
        <v>5778.5492325051064</v>
      </c>
      <c r="F23" s="216">
        <f>F22*(1+参数表!$C$61)^(现金流量!$X$4-现金流量!I$4)</f>
        <v>5344.2995051323669</v>
      </c>
      <c r="G23" s="216">
        <f>G22*(1+参数表!$C$61)^(现金流量!$X$4-现金流量!J$4)</f>
        <v>4083.5520571030729</v>
      </c>
      <c r="H23" s="216">
        <f>H22*(1+参数表!$C$61)^(现金流量!$X$4-现金流量!K$4)</f>
        <v>4262.7892058419284</v>
      </c>
      <c r="I23" s="216">
        <f>I22*(1+参数表!$C$61)^(现金流量!$X$4-现金流量!L$4)</f>
        <v>3941.2175518391796</v>
      </c>
      <c r="J23" s="216">
        <f>J22*(1+参数表!$C$61)^(现金流量!$X$4-现金流量!M$4)</f>
        <v>3643.8683188422715</v>
      </c>
      <c r="K23" s="216">
        <f>K22*(1+参数表!$C$61)^(现金流量!$X$4-现金流量!N$4)</f>
        <v>3368.9198751713147</v>
      </c>
      <c r="L23" s="216">
        <f>L22*(1+参数表!$C$61)^(现金流量!$X$4-现金流量!O$4)</f>
        <v>2808.6220142662919</v>
      </c>
      <c r="M23" s="216">
        <f>M22*(1+参数表!$C$61)^(现金流量!$X$4-现金流量!P$4)</f>
        <v>2597.5245005419097</v>
      </c>
      <c r="N23" s="216">
        <f>N22*(1+参数表!$C$61)^(现金流量!$X$4-现金流量!Q$4)</f>
        <v>2402.2647768350603</v>
      </c>
      <c r="O23" s="216">
        <f>O22*(1+参数表!$C$61)^(现金流量!$X$4-现金流量!R$4)</f>
        <v>2221.6569179130324</v>
      </c>
      <c r="P23" s="216">
        <f>P22*(1+参数表!$C$61)^(现金流量!$X$4-现金流量!S$4)</f>
        <v>2054.6036102157368</v>
      </c>
      <c r="Q23" s="216">
        <f>Q22*(1+参数表!$C$61)^(现金流量!$X$4-现金流量!T$4)</f>
        <v>830.67439769331656</v>
      </c>
      <c r="R23" s="216">
        <f>R22*(1+参数表!$C$61)^(现金流量!$X$4-现金流量!U$4)</f>
        <v>780.79235932845938</v>
      </c>
      <c r="S23" s="216">
        <f>S22*(1+参数表!$C$61)^(现金流量!$X$4-现金流量!V$4)</f>
        <v>788.78616056057263</v>
      </c>
      <c r="T23" s="216">
        <f>T22*(1+参数表!$C$61)^(现金流量!$X$4-现金流量!W$4)</f>
        <v>726.9918530512191</v>
      </c>
      <c r="U23" s="216">
        <f>U22*(1+参数表!$C$61)^(现金流量!$X$4-现金流量!X$4)</f>
        <v>670.038574240755</v>
      </c>
    </row>
    <row r="24" spans="1:26" s="34" customFormat="1" ht="14.15" hidden="1" x14ac:dyDescent="0.3">
      <c r="A24" s="215" t="s">
        <v>278</v>
      </c>
      <c r="B24" s="216">
        <f>SUM(B23:$U23)/(1+参数表!$C$61)^(现金流量!$X4-现金流量!E4)</f>
        <v>13771.924657249745</v>
      </c>
      <c r="C24" s="216">
        <f>SUM(C23:$U23)/(1+参数表!$C$61)^(现金流量!$X4-现金流量!F4)</f>
        <v>13404.69220444225</v>
      </c>
      <c r="D24" s="216">
        <f>SUM(D23:$U23)/(1+参数表!$C$61)^(现金流量!$X4-现金流量!G4)</f>
        <v>12999.516507651962</v>
      </c>
      <c r="E24" s="216">
        <f>SUM(E23:$U23)/(1+参数表!$C$61)^(现金流量!$X4-现金流量!H4)</f>
        <v>12553.172391140344</v>
      </c>
      <c r="F24" s="216">
        <f>SUM(F23:$U23)/(1+参数表!$C$61)^(现金流量!$X4-现金流量!I4)</f>
        <v>11920.490202667741</v>
      </c>
      <c r="G24" s="216">
        <f>SUM(G23:$U23)/(1+参数表!$C$61)^(现金流量!$X4-现金流量!J4)</f>
        <v>11228.14260336758</v>
      </c>
      <c r="H24" s="216">
        <f>SUM(H23:$U23)/(1+参数表!$C$61)^(现金流量!$X4-现金流量!K4)</f>
        <v>10768.527918324364</v>
      </c>
      <c r="I24" s="216">
        <f>SUM(I23:$U23)/(1+参数表!$C$61)^(现金流量!$X4-现金流量!L4)</f>
        <v>10082.315707884221</v>
      </c>
      <c r="J24" s="216">
        <f>SUM(J23:$U23)/(1+参数表!$C$61)^(现金流量!$X4-现金流量!M4)</f>
        <v>9332.7290954360487</v>
      </c>
      <c r="K24" s="216">
        <f>SUM(K23:$U23)/(1+参数表!$C$61)^(现金流量!$X4-现金流量!N4)</f>
        <v>8514.3812568091653</v>
      </c>
      <c r="L24" s="216">
        <f>SUM(L23:$U23)/(1+参数表!$C$61)^(现金流量!$X4-现金流量!O4)</f>
        <v>7621.4274877783782</v>
      </c>
      <c r="M24" s="216">
        <f>SUM(M23:$U23)/(1+参数表!$C$61)^(现金流量!$X4-现金流量!P4)</f>
        <v>6806.8851512262372</v>
      </c>
      <c r="N24" s="216">
        <f>SUM(N23:$U23)/(1+参数表!$C$61)^(现金流量!$X4-现金流量!Q4)</f>
        <v>5918.0603519465476</v>
      </c>
      <c r="O24" s="216">
        <f>SUM(O23:$U23)/(1+参数表!$C$61)^(现金流量!$X4-现金流量!R4)</f>
        <v>4948.6390806074678</v>
      </c>
      <c r="P24" s="216">
        <f>SUM(P23:$U23)/(1+参数表!$C$61)^(现金流量!$X4-现金流量!S4)</f>
        <v>3891.7706370839464</v>
      </c>
      <c r="Q24" s="216">
        <f>SUM(Q23:$U23)/(1+参数表!$C$61)^(现金流量!$X4-现金流量!T4)</f>
        <v>2740.0220117403087</v>
      </c>
      <c r="R24" s="216">
        <f>SUM(R23:$U23)/(1+参数表!$C$61)^(现金流量!$X4-现金流量!U4)</f>
        <v>2322.5821696250691</v>
      </c>
      <c r="S24" s="216">
        <f>SUM(S23:$U23)/(1+参数表!$C$61)^(现金流量!$X4-现金流量!V4)</f>
        <v>1856.7534565206711</v>
      </c>
      <c r="T24" s="216">
        <f>SUM(T23:$U23)/(1+参数表!$C$61)^(现金流量!$X4-现金流量!W4)</f>
        <v>1287.5856472737089</v>
      </c>
      <c r="U24" s="216">
        <f>SUM(U23:$U23)/(1+参数表!$C$61)^(现金流量!$X4-现金流量!X4)</f>
        <v>670.038574240755</v>
      </c>
    </row>
    <row r="25" spans="1:26" hidden="1" x14ac:dyDescent="0.3">
      <c r="A25" s="216" t="s">
        <v>279</v>
      </c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</row>
    <row r="26" spans="1:26" x14ac:dyDescent="0.3">
      <c r="A26" s="225" t="s">
        <v>313</v>
      </c>
      <c r="B26" s="227">
        <f>资产负债!D18</f>
        <v>5870.1238673021717</v>
      </c>
      <c r="C26" s="227">
        <f>资产负债!E18</f>
        <v>3125.4392302853803</v>
      </c>
      <c r="D26" s="227">
        <f>资产负债!F18</f>
        <v>397.12300942354887</v>
      </c>
      <c r="E26" s="227">
        <f>资产负债!G18</f>
        <v>-2315.7721142002483</v>
      </c>
      <c r="F26" s="227">
        <f>资产负债!H18</f>
        <v>-5012.0973722517865</v>
      </c>
      <c r="G26" s="227">
        <f>资产负债!I18</f>
        <v>-8003.9629398303459</v>
      </c>
      <c r="H26" s="227">
        <f>资产负债!J18</f>
        <v>-10990.366548641696</v>
      </c>
      <c r="I26" s="227">
        <f>资产负债!K18</f>
        <v>-13970.518895227642</v>
      </c>
      <c r="J26" s="227">
        <f>资产负债!L18</f>
        <v>-16943.569307725214</v>
      </c>
      <c r="K26" s="227">
        <f>资产负债!M18</f>
        <v>-19908.601751689552</v>
      </c>
      <c r="L26" s="227">
        <f>资产负债!N18</f>
        <v>-23060.463306284437</v>
      </c>
      <c r="M26" s="227">
        <f>资产负债!O18</f>
        <v>-26210.780275009565</v>
      </c>
      <c r="N26" s="227">
        <f>资产负债!P18</f>
        <v>-29358.784679953438</v>
      </c>
      <c r="O26" s="227">
        <f>资产负债!Q18</f>
        <v>-32503.640797532506</v>
      </c>
      <c r="P26" s="227">
        <f>资产负债!R18</f>
        <v>-35644.440528961451</v>
      </c>
      <c r="Q26" s="227">
        <f>资产负债!S18</f>
        <v>-36501.684917417573</v>
      </c>
      <c r="R26" s="227">
        <f>资产负债!T18</f>
        <v>-37370.115366568622</v>
      </c>
      <c r="S26" s="227">
        <f>资产负债!U18</f>
        <v>-38189.470585643379</v>
      </c>
      <c r="T26" s="227">
        <f>资产负债!V18</f>
        <v>-39044.467756747887</v>
      </c>
      <c r="U26" s="227">
        <f>资产负债!W18</f>
        <v>-39936.657304795444</v>
      </c>
    </row>
    <row r="27" spans="1:26" x14ac:dyDescent="0.3">
      <c r="B27" s="226">
        <f t="shared" ref="B27:U27" si="6">B11-B14</f>
        <v>-8243.1354001733471</v>
      </c>
      <c r="C27" s="226">
        <f t="shared" si="6"/>
        <v>-8210.5898069389332</v>
      </c>
      <c r="D27" s="226">
        <f t="shared" si="6"/>
        <v>-8175.2778382795923</v>
      </c>
      <c r="E27" s="226">
        <f t="shared" si="6"/>
        <v>-8136.964352284208</v>
      </c>
      <c r="F27" s="226">
        <f t="shared" si="6"/>
        <v>-8095.3942199792164</v>
      </c>
      <c r="G27" s="226">
        <f t="shared" si="6"/>
        <v>-8050.290626428301</v>
      </c>
      <c r="H27" s="226">
        <f t="shared" si="6"/>
        <v>-8001.3532274255567</v>
      </c>
      <c r="I27" s="226">
        <f t="shared" si="6"/>
        <v>-7948.2561495075797</v>
      </c>
      <c r="J27" s="226">
        <f t="shared" si="6"/>
        <v>-7890.6458199665749</v>
      </c>
      <c r="K27" s="226">
        <f t="shared" si="6"/>
        <v>-7828.138612414582</v>
      </c>
      <c r="L27" s="226">
        <f t="shared" si="6"/>
        <v>-7760.3182922206706</v>
      </c>
      <c r="M27" s="226">
        <f t="shared" si="6"/>
        <v>-7686.7332448102779</v>
      </c>
      <c r="N27" s="226">
        <f t="shared" si="6"/>
        <v>-7606.8934683700008</v>
      </c>
      <c r="O27" s="226">
        <f t="shared" si="6"/>
        <v>-7520.2673109323032</v>
      </c>
      <c r="P27" s="226">
        <f t="shared" si="6"/>
        <v>-7426.2779301124019</v>
      </c>
      <c r="Q27" s="226">
        <f t="shared" si="6"/>
        <v>-7324.2994519228068</v>
      </c>
      <c r="R27" s="226">
        <f t="shared" si="6"/>
        <v>-7213.6528030870995</v>
      </c>
      <c r="S27" s="226">
        <f t="shared" si="6"/>
        <v>-7093.6011891003527</v>
      </c>
      <c r="T27" s="226">
        <f t="shared" si="6"/>
        <v>-6963.3451879247341</v>
      </c>
      <c r="U27" s="226">
        <f t="shared" si="6"/>
        <v>-6822.0174266491867</v>
      </c>
    </row>
    <row r="28" spans="1:26" x14ac:dyDescent="0.3">
      <c r="B28" s="226">
        <f>B5</f>
        <v>0</v>
      </c>
      <c r="C28" s="226">
        <f t="shared" ref="C28:U28" si="7">C5/(1+$B$1)^(C4-$B$4)</f>
        <v>0</v>
      </c>
      <c r="D28" s="226">
        <f t="shared" si="7"/>
        <v>0</v>
      </c>
      <c r="E28" s="226">
        <f t="shared" si="7"/>
        <v>0</v>
      </c>
      <c r="F28" s="226">
        <f t="shared" si="7"/>
        <v>0</v>
      </c>
      <c r="G28" s="226">
        <f t="shared" si="7"/>
        <v>0</v>
      </c>
      <c r="H28" s="226">
        <f t="shared" si="7"/>
        <v>0</v>
      </c>
      <c r="I28" s="226">
        <f t="shared" si="7"/>
        <v>0</v>
      </c>
      <c r="J28" s="226">
        <f t="shared" si="7"/>
        <v>-1.0654787341653176E-12</v>
      </c>
      <c r="K28" s="226">
        <f t="shared" si="7"/>
        <v>-8.7289604437506822E-13</v>
      </c>
      <c r="L28" s="226">
        <f t="shared" si="7"/>
        <v>0</v>
      </c>
      <c r="M28" s="226">
        <f t="shared" si="7"/>
        <v>-8.3417192968374923E-13</v>
      </c>
      <c r="N28" s="226">
        <f t="shared" si="7"/>
        <v>8.5424672778673781E-13</v>
      </c>
      <c r="O28" s="226">
        <f t="shared" si="7"/>
        <v>8.6605659038286771E-13</v>
      </c>
      <c r="P28" s="226">
        <f t="shared" si="7"/>
        <v>0</v>
      </c>
      <c r="Q28" s="226">
        <f t="shared" si="7"/>
        <v>8.0255601749062518E-13</v>
      </c>
      <c r="R28" s="226">
        <f t="shared" si="7"/>
        <v>0</v>
      </c>
      <c r="S28" s="226">
        <f t="shared" si="7"/>
        <v>0</v>
      </c>
      <c r="T28" s="226">
        <f t="shared" si="7"/>
        <v>0</v>
      </c>
      <c r="U28" s="226">
        <f t="shared" si="7"/>
        <v>415.64274677739041</v>
      </c>
    </row>
    <row r="29" spans="1:26" x14ac:dyDescent="0.3">
      <c r="B29" s="226"/>
    </row>
    <row r="31" spans="1:26" x14ac:dyDescent="0.3">
      <c r="G31" s="224"/>
      <c r="H31" s="226"/>
    </row>
    <row r="32" spans="1:26" ht="15" customHeight="1" x14ac:dyDescent="0.3"/>
  </sheetData>
  <mergeCells count="2">
    <mergeCell ref="A3:U3"/>
    <mergeCell ref="A18:U18"/>
  </mergeCells>
  <phoneticPr fontId="6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10</vt:i4>
      </vt:variant>
      <vt:variant>
        <vt:lpstr>命名范围</vt:lpstr>
      </vt:variant>
      <vt:variant>
        <vt:i4>21</vt:i4>
      </vt:variant>
    </vt:vector>
  </HeadingPairs>
  <TitlesOfParts>
    <vt:vector size="31" baseType="lpstr">
      <vt:lpstr>参数表</vt:lpstr>
      <vt:lpstr>指标汇总</vt:lpstr>
      <vt:lpstr>投资计划</vt:lpstr>
      <vt:lpstr>损益</vt:lpstr>
      <vt:lpstr>成本</vt:lpstr>
      <vt:lpstr>现金流量</vt:lpstr>
      <vt:lpstr>资产负债</vt:lpstr>
      <vt:lpstr>还贷</vt:lpstr>
      <vt:lpstr>财务计划</vt:lpstr>
      <vt:lpstr>估值结果</vt:lpstr>
      <vt:lpstr>aa</vt:lpstr>
      <vt:lpstr>ab</vt:lpstr>
      <vt:lpstr>ac</vt:lpstr>
      <vt:lpstr>b</vt:lpstr>
      <vt:lpstr>cc</vt:lpstr>
      <vt:lpstr>i</vt:lpstr>
      <vt:lpstr>j</vt:lpstr>
      <vt:lpstr>成本!Print_Area</vt:lpstr>
      <vt:lpstr>损益!Print_Area</vt:lpstr>
      <vt:lpstr>现金流量!Print_Area</vt:lpstr>
      <vt:lpstr>资产负债!Print_Area</vt:lpstr>
      <vt:lpstr>短期贷款利息</vt:lpstr>
      <vt:lpstr>流动资金贷款利率</vt:lpstr>
      <vt:lpstr>流动资金总额</vt:lpstr>
      <vt:lpstr>年发电量</vt:lpstr>
      <vt:lpstr>其他费用费率</vt:lpstr>
      <vt:lpstr>所得税率</vt:lpstr>
      <vt:lpstr>盈余公积金</vt:lpstr>
      <vt:lpstr>增值税率</vt:lpstr>
      <vt:lpstr>装机容量</vt:lpstr>
      <vt:lpstr>总投资</vt:lpstr>
    </vt:vector>
  </TitlesOfParts>
  <Company>lihe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lixiaozhen@gedi.com.cn</dc:creator>
  <cp:lastModifiedBy>Πυγμαλίων 朱</cp:lastModifiedBy>
  <cp:revision/>
  <cp:lastPrinted>2020-01-03T02:17:45Z</cp:lastPrinted>
  <dcterms:created xsi:type="dcterms:W3CDTF">2006-09-04T00:37:11Z</dcterms:created>
  <dcterms:modified xsi:type="dcterms:W3CDTF">2026-03-17T09:06:55Z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2052-9.1.0.4885</vt:lpwstr>
  </property>
</Properties>
</file>